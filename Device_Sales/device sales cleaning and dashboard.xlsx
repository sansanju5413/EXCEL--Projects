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data analytics bootcamp\Excel Tutorials for Data Analysts\"/>
    </mc:Choice>
  </mc:AlternateContent>
  <xr:revisionPtr revIDLastSave="0" documentId="8_{F8EA16B1-0F2C-4804-B37B-0CC66168612B}" xr6:coauthVersionLast="47" xr6:coauthVersionMax="47" xr10:uidLastSave="{00000000-0000-0000-0000-000000000000}"/>
  <bookViews>
    <workbookView xWindow="-108" yWindow="-108" windowWidth="23256" windowHeight="12456" activeTab="3" xr2:uid="{358D39E9-ABF4-4902-B578-942900C89FCC}"/>
  </bookViews>
  <sheets>
    <sheet name="data" sheetId="3" r:id="rId1"/>
    <sheet name="cleaned" sheetId="1" r:id="rId2"/>
    <sheet name="PivotTable" sheetId="4" r:id="rId3"/>
    <sheet name="Dashboard" sheetId="5" r:id="rId4"/>
  </sheets>
  <definedNames>
    <definedName name="_xlnm._FilterDatabase" localSheetId="1" hidden="1">cleaned!$A$1:$G$16</definedName>
    <definedName name="Slicer_City">#N/A</definedName>
    <definedName name="Slicer_Product">#N/A</definedName>
    <definedName name="Slicer_Sales_Rep">#N/A</definedName>
  </definedNames>
  <calcPr calcId="0"/>
  <pivotCaches>
    <pivotCache cacheId="1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2" i="1"/>
  <c r="G5" i="1"/>
</calcChain>
</file>

<file path=xl/sharedStrings.xml><?xml version="1.0" encoding="utf-8"?>
<sst xmlns="http://schemas.openxmlformats.org/spreadsheetml/2006/main" count="179" uniqueCount="44">
  <si>
    <t>Order_ID</t>
  </si>
  <si>
    <t>Customer_Name</t>
  </si>
  <si>
    <t>City</t>
  </si>
  <si>
    <t>Product</t>
  </si>
  <si>
    <t>Quantity</t>
  </si>
  <si>
    <t>Unit_Price</t>
  </si>
  <si>
    <t>Sales_Rep</t>
  </si>
  <si>
    <t xml:space="preserve"> sanju </t>
  </si>
  <si>
    <t>bangalore</t>
  </si>
  <si>
    <t>Laptop</t>
  </si>
  <si>
    <t>Ravi</t>
  </si>
  <si>
    <t>RAVI</t>
  </si>
  <si>
    <t>Mysore</t>
  </si>
  <si>
    <t>Mobile</t>
  </si>
  <si>
    <t>Anu</t>
  </si>
  <si>
    <t>Priya</t>
  </si>
  <si>
    <t>BANGALORE</t>
  </si>
  <si>
    <t>Kiran</t>
  </si>
  <si>
    <t>Hassan</t>
  </si>
  <si>
    <t>Tablet</t>
  </si>
  <si>
    <t>mysore</t>
  </si>
  <si>
    <t>Deepa</t>
  </si>
  <si>
    <t>Bangalore</t>
  </si>
  <si>
    <t>Nikhil</t>
  </si>
  <si>
    <t>HASSAN</t>
  </si>
  <si>
    <t>Meena</t>
  </si>
  <si>
    <t>Sanju</t>
  </si>
  <si>
    <t>Kavya</t>
  </si>
  <si>
    <t>Rahul</t>
  </si>
  <si>
    <t>pooja</t>
  </si>
  <si>
    <t>Arun</t>
  </si>
  <si>
    <t xml:space="preserve"> KIRAN </t>
  </si>
  <si>
    <t xml:space="preserve"> Sanju </t>
  </si>
  <si>
    <t>Pooja</t>
  </si>
  <si>
    <t xml:space="preserve"> Kiran </t>
  </si>
  <si>
    <t>total_revenue</t>
  </si>
  <si>
    <t>Row Labels</t>
  </si>
  <si>
    <t>Grand Total</t>
  </si>
  <si>
    <t>Sum of total_revenue</t>
  </si>
  <si>
    <t>Column Labels</t>
  </si>
  <si>
    <t>Count of Product</t>
  </si>
  <si>
    <t>Count of Order_ID</t>
  </si>
  <si>
    <t>Sum of total_revenue2</t>
  </si>
  <si>
    <t xml:space="preserve">       DEVICE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</si>
</sst>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FFC000"/>
      <name val="Calibri"/>
      <family val="2"/>
      <scheme val="minor"/>
    </font>
    <font>
      <b/>
      <sz val="48"/>
      <color theme="1"/>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0" fontId="0" fillId="0" borderId="0" xfId="0" applyNumberFormat="1"/>
    <xf numFmtId="0" fontId="18" fillId="33" borderId="0" xfId="0" applyFont="1" applyFill="1"/>
    <xf numFmtId="0" fontId="0" fillId="33" borderId="0" xfId="0" applyFill="1"/>
    <xf numFmtId="0" fontId="19" fillId="33" borderId="0" xfId="0" applyFont="1" applyFill="1"/>
    <xf numFmtId="0" fontId="18" fillId="34" borderId="0" xfId="0" applyFont="1" applyFill="1"/>
    <xf numFmtId="0" fontId="0" fillId="34" borderId="0" xfId="0" applyFill="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[device sales cleaning and dashboard.xlsx]PivotTable!PivotTable3</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PivotTable!$B$2</c:f>
              <c:strCache>
                <c:ptCount val="1"/>
                <c:pt idx="0">
                  <c:v>Total</c:v>
                </c:pt>
              </c:strCache>
            </c:strRef>
          </c:tx>
          <c:spPr>
            <a:solidFill>
              <a:schemeClr val="accent1"/>
            </a:solidFill>
            <a:ln>
              <a:noFill/>
            </a:ln>
            <a:effectLst/>
          </c:spPr>
          <c:invertIfNegative val="0"/>
          <c:cat>
            <c:strRef>
              <c:f>PivotTable!$A$3:$A$6</c:f>
              <c:strCache>
                <c:ptCount val="3"/>
                <c:pt idx="0">
                  <c:v>Bangalore</c:v>
                </c:pt>
                <c:pt idx="1">
                  <c:v>Hassan</c:v>
                </c:pt>
                <c:pt idx="2">
                  <c:v>Mysore</c:v>
                </c:pt>
              </c:strCache>
            </c:strRef>
          </c:cat>
          <c:val>
            <c:numRef>
              <c:f>PivotTable!$B$3:$B$6</c:f>
              <c:numCache>
                <c:formatCode>General</c:formatCode>
                <c:ptCount val="3"/>
                <c:pt idx="0">
                  <c:v>470000</c:v>
                </c:pt>
                <c:pt idx="1">
                  <c:v>305000</c:v>
                </c:pt>
                <c:pt idx="2">
                  <c:v>255000</c:v>
                </c:pt>
              </c:numCache>
            </c:numRef>
          </c:val>
          <c:extLst>
            <c:ext xmlns:c16="http://schemas.microsoft.com/office/drawing/2014/chart" uri="{C3380CC4-5D6E-409C-BE32-E72D297353CC}">
              <c16:uniqueId val="{00000000-E247-46F7-AE29-A9A789D9BB5B}"/>
            </c:ext>
          </c:extLst>
        </c:ser>
        <c:dLbls>
          <c:showLegendKey val="0"/>
          <c:showVal val="0"/>
          <c:showCatName val="0"/>
          <c:showSerName val="0"/>
          <c:showPercent val="0"/>
          <c:showBubbleSize val="0"/>
        </c:dLbls>
        <c:gapWidth val="219"/>
        <c:overlap val="-27"/>
        <c:axId val="1644006944"/>
        <c:axId val="1644007424"/>
      </c:barChart>
      <c:catAx>
        <c:axId val="1644006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007424"/>
        <c:crosses val="autoZero"/>
        <c:auto val="1"/>
        <c:lblAlgn val="ctr"/>
        <c:lblOffset val="100"/>
        <c:noMultiLvlLbl val="0"/>
      </c:catAx>
      <c:valAx>
        <c:axId val="1644007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0069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[device sales cleaning and dashboard.xlsx]PivotTable!PivotTable5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Products</a:t>
            </a:r>
          </a:p>
        </c:rich>
      </c:tx>
      <c:layout>
        <c:manualLayout>
          <c:xMode val="edge"/>
          <c:yMode val="edge"/>
          <c:x val="0.32890120662628014"/>
          <c:y val="7.9881319182928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PivotTable!$B$19</c:f>
              <c:strCache>
                <c:ptCount val="1"/>
                <c:pt idx="0">
                  <c:v>Total</c:v>
                </c:pt>
              </c:strCache>
            </c:strRef>
          </c:tx>
          <c:spPr>
            <a:solidFill>
              <a:schemeClr val="accent1"/>
            </a:solidFill>
            <a:ln>
              <a:noFill/>
            </a:ln>
            <a:effectLst/>
          </c:spPr>
          <c:invertIfNegative val="0"/>
          <c:cat>
            <c:strRef>
              <c:f>PivotTable!$A$20:$A$23</c:f>
              <c:strCache>
                <c:ptCount val="3"/>
                <c:pt idx="0">
                  <c:v>Laptop</c:v>
                </c:pt>
                <c:pt idx="1">
                  <c:v>Mobile</c:v>
                </c:pt>
                <c:pt idx="2">
                  <c:v>Tablet</c:v>
                </c:pt>
              </c:strCache>
            </c:strRef>
          </c:cat>
          <c:val>
            <c:numRef>
              <c:f>PivotTable!$B$20:$B$23</c:f>
              <c:numCache>
                <c:formatCode>General</c:formatCode>
                <c:ptCount val="3"/>
                <c:pt idx="0">
                  <c:v>500000</c:v>
                </c:pt>
                <c:pt idx="1">
                  <c:v>350000</c:v>
                </c:pt>
                <c:pt idx="2">
                  <c:v>180000</c:v>
                </c:pt>
              </c:numCache>
            </c:numRef>
          </c:val>
          <c:extLst>
            <c:ext xmlns:c16="http://schemas.microsoft.com/office/drawing/2014/chart" uri="{C3380CC4-5D6E-409C-BE32-E72D297353CC}">
              <c16:uniqueId val="{00000000-83D8-4625-8BA4-C1F0709ECDAA}"/>
            </c:ext>
          </c:extLst>
        </c:ser>
        <c:dLbls>
          <c:showLegendKey val="0"/>
          <c:showVal val="0"/>
          <c:showCatName val="0"/>
          <c:showSerName val="0"/>
          <c:showPercent val="0"/>
          <c:showBubbleSize val="0"/>
        </c:dLbls>
        <c:gapWidth val="150"/>
        <c:overlap val="100"/>
        <c:axId val="1643911424"/>
        <c:axId val="1643911904"/>
      </c:barChart>
      <c:catAx>
        <c:axId val="1643911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911904"/>
        <c:crosses val="autoZero"/>
        <c:auto val="1"/>
        <c:lblAlgn val="ctr"/>
        <c:lblOffset val="100"/>
        <c:noMultiLvlLbl val="0"/>
      </c:catAx>
      <c:valAx>
        <c:axId val="1643911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layout>
            <c:manualLayout>
              <c:xMode val="edge"/>
              <c:yMode val="edge"/>
              <c:x val="3.1554790590935168E-2"/>
              <c:y val="0.3443962113431473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91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[device sales cleaning and dashboard.xlsx]PivotTable!PivotTable6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PivotTable!$B$31:$B$32</c:f>
              <c:strCache>
                <c:ptCount val="1"/>
                <c:pt idx="0">
                  <c:v>Laptop</c:v>
                </c:pt>
              </c:strCache>
            </c:strRef>
          </c:tx>
          <c:spPr>
            <a:solidFill>
              <a:schemeClr val="accent1"/>
            </a:solidFill>
            <a:ln>
              <a:noFill/>
            </a:ln>
            <a:effectLst/>
          </c:spPr>
          <c:invertIfNegative val="0"/>
          <c:cat>
            <c:strRef>
              <c:f>PivotTable!$A$33:$A$36</c:f>
              <c:strCache>
                <c:ptCount val="3"/>
                <c:pt idx="0">
                  <c:v>Bangalore</c:v>
                </c:pt>
                <c:pt idx="1">
                  <c:v>Hassan</c:v>
                </c:pt>
                <c:pt idx="2">
                  <c:v>Mysore</c:v>
                </c:pt>
              </c:strCache>
            </c:strRef>
          </c:cat>
          <c:val>
            <c:numRef>
              <c:f>PivotTable!$B$33:$B$36</c:f>
              <c:numCache>
                <c:formatCode>General</c:formatCode>
                <c:ptCount val="3"/>
                <c:pt idx="0">
                  <c:v>2</c:v>
                </c:pt>
                <c:pt idx="1">
                  <c:v>2</c:v>
                </c:pt>
                <c:pt idx="2">
                  <c:v>2</c:v>
                </c:pt>
              </c:numCache>
            </c:numRef>
          </c:val>
          <c:extLst>
            <c:ext xmlns:c16="http://schemas.microsoft.com/office/drawing/2014/chart" uri="{C3380CC4-5D6E-409C-BE32-E72D297353CC}">
              <c16:uniqueId val="{00000000-A759-4CF0-B9ED-97C3B2E82EB5}"/>
            </c:ext>
          </c:extLst>
        </c:ser>
        <c:ser>
          <c:idx val="1"/>
          <c:order val="1"/>
          <c:tx>
            <c:strRef>
              <c:f>PivotTable!$C$31:$C$32</c:f>
              <c:strCache>
                <c:ptCount val="1"/>
                <c:pt idx="0">
                  <c:v>Mobile</c:v>
                </c:pt>
              </c:strCache>
            </c:strRef>
          </c:tx>
          <c:spPr>
            <a:solidFill>
              <a:schemeClr val="accent2"/>
            </a:solidFill>
            <a:ln>
              <a:noFill/>
            </a:ln>
            <a:effectLst/>
          </c:spPr>
          <c:invertIfNegative val="0"/>
          <c:cat>
            <c:strRef>
              <c:f>PivotTable!$A$33:$A$36</c:f>
              <c:strCache>
                <c:ptCount val="3"/>
                <c:pt idx="0">
                  <c:v>Bangalore</c:v>
                </c:pt>
                <c:pt idx="1">
                  <c:v>Hassan</c:v>
                </c:pt>
                <c:pt idx="2">
                  <c:v>Mysore</c:v>
                </c:pt>
              </c:strCache>
            </c:strRef>
          </c:cat>
          <c:val>
            <c:numRef>
              <c:f>PivotTable!$C$33:$C$36</c:f>
              <c:numCache>
                <c:formatCode>General</c:formatCode>
                <c:ptCount val="3"/>
                <c:pt idx="0">
                  <c:v>4</c:v>
                </c:pt>
                <c:pt idx="2">
                  <c:v>1</c:v>
                </c:pt>
              </c:numCache>
            </c:numRef>
          </c:val>
          <c:extLst>
            <c:ext xmlns:c16="http://schemas.microsoft.com/office/drawing/2014/chart" uri="{C3380CC4-5D6E-409C-BE32-E72D297353CC}">
              <c16:uniqueId val="{00000018-A759-4CF0-B9ED-97C3B2E82EB5}"/>
            </c:ext>
          </c:extLst>
        </c:ser>
        <c:ser>
          <c:idx val="2"/>
          <c:order val="2"/>
          <c:tx>
            <c:strRef>
              <c:f>PivotTable!$D$31:$D$32</c:f>
              <c:strCache>
                <c:ptCount val="1"/>
                <c:pt idx="0">
                  <c:v>Tablet</c:v>
                </c:pt>
              </c:strCache>
            </c:strRef>
          </c:tx>
          <c:spPr>
            <a:solidFill>
              <a:schemeClr val="accent3"/>
            </a:solidFill>
            <a:ln>
              <a:noFill/>
            </a:ln>
            <a:effectLst/>
          </c:spPr>
          <c:invertIfNegative val="0"/>
          <c:cat>
            <c:strRef>
              <c:f>PivotTable!$A$33:$A$36</c:f>
              <c:strCache>
                <c:ptCount val="3"/>
                <c:pt idx="0">
                  <c:v>Bangalore</c:v>
                </c:pt>
                <c:pt idx="1">
                  <c:v>Hassan</c:v>
                </c:pt>
                <c:pt idx="2">
                  <c:v>Mysore</c:v>
                </c:pt>
              </c:strCache>
            </c:strRef>
          </c:cat>
          <c:val>
            <c:numRef>
              <c:f>PivotTable!$D$33:$D$36</c:f>
              <c:numCache>
                <c:formatCode>General</c:formatCode>
                <c:ptCount val="3"/>
                <c:pt idx="0">
                  <c:v>1</c:v>
                </c:pt>
                <c:pt idx="1">
                  <c:v>2</c:v>
                </c:pt>
                <c:pt idx="2">
                  <c:v>1</c:v>
                </c:pt>
              </c:numCache>
            </c:numRef>
          </c:val>
          <c:extLst>
            <c:ext xmlns:c16="http://schemas.microsoft.com/office/drawing/2014/chart" uri="{C3380CC4-5D6E-409C-BE32-E72D297353CC}">
              <c16:uniqueId val="{0000001A-A759-4CF0-B9ED-97C3B2E82EB5}"/>
            </c:ext>
          </c:extLst>
        </c:ser>
        <c:dLbls>
          <c:showLegendKey val="0"/>
          <c:showVal val="0"/>
          <c:showCatName val="0"/>
          <c:showSerName val="0"/>
          <c:showPercent val="0"/>
          <c:showBubbleSize val="0"/>
        </c:dLbls>
        <c:gapWidth val="219"/>
        <c:overlap val="-27"/>
        <c:axId val="1643924384"/>
        <c:axId val="1643921504"/>
      </c:barChart>
      <c:catAx>
        <c:axId val="1643924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Cities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921504"/>
        <c:crosses val="autoZero"/>
        <c:auto val="1"/>
        <c:lblAlgn val="ctr"/>
        <c:lblOffset val="100"/>
        <c:noMultiLvlLbl val="0"/>
      </c:catAx>
      <c:valAx>
        <c:axId val="16439215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Products</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92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[device sales cleaning and dashboard.xlsx]PivotTable!PivotTable8</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BY SALES_REP     </a:t>
            </a:r>
            <a:endParaRPr lang="en-IN"/>
          </a:p>
        </c:rich>
      </c:tx>
      <c:layout>
        <c:manualLayout>
          <c:xMode val="edge"/>
          <c:yMode val="edge"/>
          <c:x val="0.28245122484689411"/>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PivotTable!$B$46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PivotTable!$A$47:$A$50</c:f>
              <c:strCache>
                <c:ptCount val="3"/>
                <c:pt idx="0">
                  <c:v>Anu</c:v>
                </c:pt>
                <c:pt idx="1">
                  <c:v>Deepa</c:v>
                </c:pt>
                <c:pt idx="2">
                  <c:v>Ravi</c:v>
                </c:pt>
              </c:strCache>
            </c:strRef>
          </c:cat>
          <c:val>
            <c:numRef>
              <c:f>PivotTable!$B$47:$B$50</c:f>
              <c:numCache>
                <c:formatCode>General</c:formatCode>
                <c:ptCount val="3"/>
                <c:pt idx="0">
                  <c:v>4</c:v>
                </c:pt>
                <c:pt idx="1">
                  <c:v>5</c:v>
                </c:pt>
                <c:pt idx="2">
                  <c:v>6</c:v>
                </c:pt>
              </c:numCache>
            </c:numRef>
          </c:val>
          <c:extLst>
            <c:ext xmlns:c16="http://schemas.microsoft.com/office/drawing/2014/chart" uri="{C3380CC4-5D6E-409C-BE32-E72D297353CC}">
              <c16:uniqueId val="{00000000-A98C-4F24-8BDF-0A2264378B2F}"/>
            </c:ext>
          </c:extLst>
        </c:ser>
        <c:dLbls>
          <c:dLblPos val="bestFit"/>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[device sales cleaning and dashboard.xlsx]PivotTable!PivotTable3</c:name>
    <c:fmtId val="4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PivotTable!$B$2</c:f>
              <c:strCache>
                <c:ptCount val="1"/>
                <c:pt idx="0">
                  <c:v>Total</c:v>
                </c:pt>
              </c:strCache>
            </c:strRef>
          </c:tx>
          <c:spPr>
            <a:solidFill>
              <a:schemeClr val="accent1"/>
            </a:solidFill>
            <a:ln>
              <a:noFill/>
            </a:ln>
            <a:effectLst/>
          </c:spPr>
          <c:invertIfNegative val="0"/>
          <c:cat>
            <c:strRef>
              <c:f>PivotTable!$A$3:$A$6</c:f>
              <c:strCache>
                <c:ptCount val="3"/>
                <c:pt idx="0">
                  <c:v>Bangalore</c:v>
                </c:pt>
                <c:pt idx="1">
                  <c:v>Hassan</c:v>
                </c:pt>
                <c:pt idx="2">
                  <c:v>Mysore</c:v>
                </c:pt>
              </c:strCache>
            </c:strRef>
          </c:cat>
          <c:val>
            <c:numRef>
              <c:f>PivotTable!$B$3:$B$6</c:f>
              <c:numCache>
                <c:formatCode>General</c:formatCode>
                <c:ptCount val="3"/>
                <c:pt idx="0">
                  <c:v>470000</c:v>
                </c:pt>
                <c:pt idx="1">
                  <c:v>305000</c:v>
                </c:pt>
                <c:pt idx="2">
                  <c:v>255000</c:v>
                </c:pt>
              </c:numCache>
            </c:numRef>
          </c:val>
          <c:extLst>
            <c:ext xmlns:c16="http://schemas.microsoft.com/office/drawing/2014/chart" uri="{C3380CC4-5D6E-409C-BE32-E72D297353CC}">
              <c16:uniqueId val="{00000000-5C03-4218-AFB9-3CF0DFD874B4}"/>
            </c:ext>
          </c:extLst>
        </c:ser>
        <c:dLbls>
          <c:showLegendKey val="0"/>
          <c:showVal val="0"/>
          <c:showCatName val="0"/>
          <c:showSerName val="0"/>
          <c:showPercent val="0"/>
          <c:showBubbleSize val="0"/>
        </c:dLbls>
        <c:gapWidth val="219"/>
        <c:overlap val="-27"/>
        <c:axId val="1644006944"/>
        <c:axId val="1644007424"/>
      </c:barChart>
      <c:catAx>
        <c:axId val="1644006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007424"/>
        <c:crosses val="autoZero"/>
        <c:auto val="1"/>
        <c:lblAlgn val="ctr"/>
        <c:lblOffset val="100"/>
        <c:noMultiLvlLbl val="0"/>
      </c:catAx>
      <c:valAx>
        <c:axId val="1644007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0069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[device sales cleaning and dashboard.xlsx]PivotTable!PivotTable5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Products</a:t>
            </a:r>
          </a:p>
        </c:rich>
      </c:tx>
      <c:layout>
        <c:manualLayout>
          <c:xMode val="edge"/>
          <c:yMode val="edge"/>
          <c:x val="0.39116287061439292"/>
          <c:y val="7.78914803701584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PivotTable!$B$19</c:f>
              <c:strCache>
                <c:ptCount val="1"/>
                <c:pt idx="0">
                  <c:v>Total</c:v>
                </c:pt>
              </c:strCache>
            </c:strRef>
          </c:tx>
          <c:spPr>
            <a:solidFill>
              <a:schemeClr val="accent1"/>
            </a:solidFill>
            <a:ln>
              <a:noFill/>
            </a:ln>
            <a:effectLst/>
          </c:spPr>
          <c:invertIfNegative val="0"/>
          <c:cat>
            <c:strRef>
              <c:f>PivotTable!$A$20:$A$23</c:f>
              <c:strCache>
                <c:ptCount val="3"/>
                <c:pt idx="0">
                  <c:v>Laptop</c:v>
                </c:pt>
                <c:pt idx="1">
                  <c:v>Mobile</c:v>
                </c:pt>
                <c:pt idx="2">
                  <c:v>Tablet</c:v>
                </c:pt>
              </c:strCache>
            </c:strRef>
          </c:cat>
          <c:val>
            <c:numRef>
              <c:f>PivotTable!$B$20:$B$23</c:f>
              <c:numCache>
                <c:formatCode>General</c:formatCode>
                <c:ptCount val="3"/>
                <c:pt idx="0">
                  <c:v>500000</c:v>
                </c:pt>
                <c:pt idx="1">
                  <c:v>350000</c:v>
                </c:pt>
                <c:pt idx="2">
                  <c:v>180000</c:v>
                </c:pt>
              </c:numCache>
            </c:numRef>
          </c:val>
          <c:extLst>
            <c:ext xmlns:c16="http://schemas.microsoft.com/office/drawing/2014/chart" uri="{C3380CC4-5D6E-409C-BE32-E72D297353CC}">
              <c16:uniqueId val="{00000000-2129-4BE3-BFD8-61054B33F3B7}"/>
            </c:ext>
          </c:extLst>
        </c:ser>
        <c:dLbls>
          <c:showLegendKey val="0"/>
          <c:showVal val="0"/>
          <c:showCatName val="0"/>
          <c:showSerName val="0"/>
          <c:showPercent val="0"/>
          <c:showBubbleSize val="0"/>
        </c:dLbls>
        <c:gapWidth val="150"/>
        <c:axId val="1643911424"/>
        <c:axId val="1643911904"/>
      </c:barChart>
      <c:catAx>
        <c:axId val="16439114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911904"/>
        <c:crosses val="autoZero"/>
        <c:auto val="1"/>
        <c:lblAlgn val="ctr"/>
        <c:lblOffset val="100"/>
        <c:noMultiLvlLbl val="0"/>
      </c:catAx>
      <c:valAx>
        <c:axId val="16439119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layout>
            <c:manualLayout>
              <c:xMode val="edge"/>
              <c:yMode val="edge"/>
              <c:x val="3.1554790590935168E-2"/>
              <c:y val="0.3443962113431473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91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[device sales cleaning and dashboard.xlsx]PivotTable!PivotTable8</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BY SALES_REP     </a:t>
            </a:r>
            <a:endParaRPr lang="en-IN"/>
          </a:p>
        </c:rich>
      </c:tx>
      <c:layout>
        <c:manualLayout>
          <c:xMode val="edge"/>
          <c:yMode val="edge"/>
          <c:x val="0.28245122484689411"/>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PivotTable!$B$46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70-43DB-9766-877082F5A1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70-43DB-9766-877082F5A1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70-43DB-9766-877082F5A10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PivotTable!$A$47:$A$50</c:f>
              <c:strCache>
                <c:ptCount val="3"/>
                <c:pt idx="0">
                  <c:v>Anu</c:v>
                </c:pt>
                <c:pt idx="1">
                  <c:v>Deepa</c:v>
                </c:pt>
                <c:pt idx="2">
                  <c:v>Ravi</c:v>
                </c:pt>
              </c:strCache>
            </c:strRef>
          </c:cat>
          <c:val>
            <c:numRef>
              <c:f>PivotTable!$B$47:$B$50</c:f>
              <c:numCache>
                <c:formatCode>General</c:formatCode>
                <c:ptCount val="3"/>
                <c:pt idx="0">
                  <c:v>4</c:v>
                </c:pt>
                <c:pt idx="1">
                  <c:v>5</c:v>
                </c:pt>
                <c:pt idx="2">
                  <c:v>6</c:v>
                </c:pt>
              </c:numCache>
            </c:numRef>
          </c:val>
          <c:extLst>
            <c:ext xmlns:c16="http://schemas.microsoft.com/office/drawing/2014/chart" uri="{C3380CC4-5D6E-409C-BE32-E72D297353CC}">
              <c16:uniqueId val="{00000006-F070-43DB-9766-877082F5A106}"/>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601980</xdr:colOff>
      <xdr:row>0</xdr:row>
      <xdr:rowOff>140970</xdr:rowOff>
    </xdr:from>
    <xdr:to>
      <xdr:col>11</xdr:col>
      <xdr:colOff>297180</xdr:colOff>
      <xdr:row>15</xdr:row>
      <xdr:rowOff>140970</xdr:rowOff>
    </xdr:to>
    <xdr:graphicFrame macro="">
      <xdr:nvGraphicFramePr>
        <xdr:cNvPr id="2" name="Chart 1">
          <a:extLst>
            <a:ext uri="{FF2B5EF4-FFF2-40B4-BE49-F238E27FC236}">
              <a16:creationId xmlns:a16="http://schemas.microsoft.com/office/drawing/2014/main" id="{B03F1741-9341-13D4-1DC3-7B18A22E89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60960</xdr:colOff>
      <xdr:row>17</xdr:row>
      <xdr:rowOff>19050</xdr:rowOff>
    </xdr:from>
    <xdr:to>
      <xdr:col>10</xdr:col>
      <xdr:colOff>579120</xdr:colOff>
      <xdr:row>29</xdr:row>
      <xdr:rowOff>15240</xdr:rowOff>
    </xdr:to>
    <xdr:graphicFrame macro="">
      <xdr:nvGraphicFramePr>
        <xdr:cNvPr id="3" name="Chart 2">
          <a:extLst>
            <a:ext uri="{FF2B5EF4-FFF2-40B4-BE49-F238E27FC236}">
              <a16:creationId xmlns:a16="http://schemas.microsoft.com/office/drawing/2014/main" id="{82D4C940-5D36-9C31-DA60-F1064D353E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243840</xdr:colOff>
      <xdr:row>30</xdr:row>
      <xdr:rowOff>3810</xdr:rowOff>
    </xdr:from>
    <xdr:to>
      <xdr:col>11</xdr:col>
      <xdr:colOff>533400</xdr:colOff>
      <xdr:row>41</xdr:row>
      <xdr:rowOff>114300</xdr:rowOff>
    </xdr:to>
    <xdr:graphicFrame macro="">
      <xdr:nvGraphicFramePr>
        <xdr:cNvPr id="4" name="Chart 3">
          <a:extLst>
            <a:ext uri="{FF2B5EF4-FFF2-40B4-BE49-F238E27FC236}">
              <a16:creationId xmlns:a16="http://schemas.microsoft.com/office/drawing/2014/main" id="{FB1CEDB8-A04A-569B-EF9E-A2023785D8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7620</xdr:colOff>
      <xdr:row>38</xdr:row>
      <xdr:rowOff>148590</xdr:rowOff>
    </xdr:from>
    <xdr:to>
      <xdr:col>17</xdr:col>
      <xdr:colOff>68580</xdr:colOff>
      <xdr:row>53</xdr:row>
      <xdr:rowOff>148590</xdr:rowOff>
    </xdr:to>
    <xdr:graphicFrame macro="">
      <xdr:nvGraphicFramePr>
        <xdr:cNvPr id="6" name="Chart 5">
          <a:extLst>
            <a:ext uri="{FF2B5EF4-FFF2-40B4-BE49-F238E27FC236}">
              <a16:creationId xmlns:a16="http://schemas.microsoft.com/office/drawing/2014/main" id="{7E392CC5-C951-75C6-40F1-972CEA2E6B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56</xdr:row>
      <xdr:rowOff>0</xdr:rowOff>
    </xdr:from>
    <xdr:to>
      <xdr:col>14</xdr:col>
      <xdr:colOff>148937</xdr:colOff>
      <xdr:row>64</xdr:row>
      <xdr:rowOff>38793</xdr:rowOff>
    </xdr:to>
    <xdr:grpSp>
      <xdr:nvGrpSpPr>
        <xdr:cNvPr id="9" name="Group 8">
          <a:extLst>
            <a:ext uri="{FF2B5EF4-FFF2-40B4-BE49-F238E27FC236}">
              <a16:creationId xmlns:a16="http://schemas.microsoft.com/office/drawing/2014/main" id="{9B9FE781-5EF6-1106-A3A2-50C95410CDF6}"/>
            </a:ext>
          </a:extLst>
        </xdr:cNvPr>
        <xdr:cNvGrpSpPr/>
      </xdr:nvGrpSpPr>
      <xdr:grpSpPr>
        <a:xfrm>
          <a:off x="5882640" y="10424160"/>
          <a:ext cx="2549237" cy="1593273"/>
          <a:chOff x="5882640" y="10424160"/>
          <a:chExt cx="2549237" cy="1593273"/>
        </a:xfrm>
      </xdr:grpSpPr>
      <xdr:sp macro="" textlink="">
        <xdr:nvSpPr>
          <xdr:cNvPr id="7" name="Rectangle: Rounded Corners 6">
            <a:extLst>
              <a:ext uri="{FF2B5EF4-FFF2-40B4-BE49-F238E27FC236}">
                <a16:creationId xmlns:a16="http://schemas.microsoft.com/office/drawing/2014/main" id="{00706F46-D86D-4F3D-A410-9C6B5D99B979}"/>
              </a:ext>
            </a:extLst>
          </xdr:cNvPr>
          <xdr:cNvSpPr/>
        </xdr:nvSpPr>
        <xdr:spPr>
          <a:xfrm>
            <a:off x="5882640" y="10424160"/>
            <a:ext cx="2549237" cy="1593273"/>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Times New Roman" panose="02020603050405020304" pitchFamily="18" charset="0"/>
                <a:cs typeface="Times New Roman" panose="02020603050405020304" pitchFamily="18" charset="0"/>
              </a:rPr>
              <a:t>TOP</a:t>
            </a:r>
            <a:r>
              <a:rPr lang="en-IN" sz="2000" b="1" baseline="0">
                <a:latin typeface="Times New Roman" panose="02020603050405020304" pitchFamily="18" charset="0"/>
                <a:cs typeface="Times New Roman" panose="02020603050405020304" pitchFamily="18" charset="0"/>
              </a:rPr>
              <a:t> CITY</a:t>
            </a:r>
          </a:p>
          <a:p>
            <a:pPr algn="ctr"/>
            <a:r>
              <a:rPr lang="en-IN" sz="2000" b="1" i="0" u="none" strike="noStrike">
                <a:solidFill>
                  <a:schemeClr val="lt1"/>
                </a:solidFill>
                <a:effectLst/>
                <a:latin typeface="Times New Roman" panose="02020603050405020304" pitchFamily="18" charset="0"/>
                <a:ea typeface="+mn-ea"/>
                <a:cs typeface="Times New Roman" panose="02020603050405020304" pitchFamily="18" charset="0"/>
              </a:rPr>
              <a:t>Bangalore</a:t>
            </a:r>
          </a:p>
          <a:p>
            <a:pPr algn="ctr"/>
            <a:endParaRPr lang="en-IN" sz="2000" b="1" i="0" u="none" strike="noStrike">
              <a:solidFill>
                <a:schemeClr val="lt1"/>
              </a:solidFill>
              <a:effectLst/>
              <a:latin typeface="Times New Roman" panose="02020603050405020304" pitchFamily="18" charset="0"/>
              <a:ea typeface="+mn-ea"/>
              <a:cs typeface="Times New Roman" panose="02020603050405020304" pitchFamily="18" charset="0"/>
            </a:endParaRPr>
          </a:p>
          <a:p>
            <a:pPr algn="l"/>
            <a:r>
              <a:rPr lang="en-IN" sz="1200" b="1">
                <a:effectLst/>
                <a:latin typeface="Times New Roman" panose="02020603050405020304" pitchFamily="18" charset="0"/>
                <a:cs typeface="Times New Roman" panose="02020603050405020304" pitchFamily="18" charset="0"/>
              </a:rPr>
              <a:t>   Revenue</a:t>
            </a:r>
          </a:p>
          <a:p>
            <a:pPr algn="l"/>
            <a:r>
              <a:rPr lang="en-IN" sz="2000" b="1">
                <a:effectLst/>
                <a:latin typeface="Times New Roman" panose="02020603050405020304" pitchFamily="18" charset="0"/>
                <a:cs typeface="Times New Roman" panose="02020603050405020304" pitchFamily="18" charset="0"/>
              </a:rPr>
              <a:t> </a:t>
            </a:r>
            <a:r>
              <a:rPr lang="en-IN" sz="1400" b="1">
                <a:effectLst/>
                <a:latin typeface="Times New Roman" panose="02020603050405020304" pitchFamily="18" charset="0"/>
                <a:cs typeface="Times New Roman" panose="02020603050405020304" pitchFamily="18" charset="0"/>
              </a:rPr>
              <a:t>$ </a:t>
            </a:r>
            <a:r>
              <a:rPr lang="en-IN" sz="1400" b="1" i="0" u="none" strike="noStrike">
                <a:solidFill>
                  <a:schemeClr val="lt1"/>
                </a:solidFill>
                <a:effectLst/>
                <a:latin typeface="Times New Roman" panose="02020603050405020304" pitchFamily="18" charset="0"/>
                <a:ea typeface="+mn-ea"/>
                <a:cs typeface="Times New Roman" panose="02020603050405020304" pitchFamily="18" charset="0"/>
              </a:rPr>
              <a:t>4,70,000</a:t>
            </a:r>
            <a:r>
              <a:rPr lang="en-IN" sz="1400">
                <a:effectLst/>
                <a:latin typeface="Times New Roman" panose="02020603050405020304" pitchFamily="18" charset="0"/>
                <a:cs typeface="Times New Roman" panose="02020603050405020304" pitchFamily="18" charset="0"/>
              </a:rPr>
              <a:t> </a:t>
            </a:r>
            <a:endParaRPr lang="en-IN" sz="1400" b="1">
              <a:latin typeface="Times New Roman" panose="02020603050405020304" pitchFamily="18" charset="0"/>
              <a:cs typeface="Times New Roman" panose="02020603050405020304" pitchFamily="18" charset="0"/>
            </a:endParaRPr>
          </a:p>
        </xdr:txBody>
      </xdr:sp>
      <xdr:sp macro="" textlink="">
        <xdr:nvSpPr>
          <xdr:cNvPr id="8" name="Oval 7">
            <a:extLst>
              <a:ext uri="{FF2B5EF4-FFF2-40B4-BE49-F238E27FC236}">
                <a16:creationId xmlns:a16="http://schemas.microsoft.com/office/drawing/2014/main" id="{A0BFCD80-6A27-B744-A473-E6AEE835FA6C}"/>
              </a:ext>
            </a:extLst>
          </xdr:cNvPr>
          <xdr:cNvSpPr/>
        </xdr:nvSpPr>
        <xdr:spPr>
          <a:xfrm>
            <a:off x="7376160" y="11262360"/>
            <a:ext cx="868680" cy="69342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1000" b="1" i="0">
              <a:solidFill>
                <a:schemeClr val="tx1"/>
              </a:solidFill>
              <a:effectLst/>
              <a:latin typeface="Times New Roman" panose="02020603050405020304" pitchFamily="18" charset="0"/>
              <a:ea typeface="+mn-ea"/>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000" b="1" i="0">
                <a:solidFill>
                  <a:schemeClr val="tx1"/>
                </a:solidFill>
                <a:effectLst/>
                <a:latin typeface="Times New Roman" panose="02020603050405020304" pitchFamily="18" charset="0"/>
                <a:ea typeface="+mn-ea"/>
                <a:cs typeface="Times New Roman" panose="02020603050405020304" pitchFamily="18" charset="0"/>
              </a:rPr>
              <a:t>45.63%</a:t>
            </a:r>
            <a:r>
              <a:rPr lang="en-IN" sz="1000" b="1">
                <a:solidFill>
                  <a:schemeClr val="tx1"/>
                </a:solidFill>
                <a:effectLst/>
                <a:latin typeface="Times New Roman" panose="02020603050405020304" pitchFamily="18" charset="0"/>
                <a:ea typeface="+mn-ea"/>
                <a:cs typeface="Times New Roman" panose="02020603050405020304" pitchFamily="18" charset="0"/>
              </a:rPr>
              <a:t> </a:t>
            </a:r>
            <a:endParaRPr lang="en-IN" sz="1000" b="1">
              <a:solidFill>
                <a:schemeClr val="tx1"/>
              </a:solidFill>
              <a:effectLst/>
              <a:latin typeface="Times New Roman" panose="02020603050405020304" pitchFamily="18" charset="0"/>
              <a:cs typeface="Times New Roman" panose="02020603050405020304" pitchFamily="18" charset="0"/>
            </a:endParaRPr>
          </a:p>
          <a:p>
            <a:pPr algn="l"/>
            <a:endParaRPr lang="en-IN" sz="1000">
              <a:solidFill>
                <a:schemeClr val="tx1"/>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402770</xdr:colOff>
      <xdr:row>9</xdr:row>
      <xdr:rowOff>76198</xdr:rowOff>
    </xdr:from>
    <xdr:to>
      <xdr:col>9</xdr:col>
      <xdr:colOff>598714</xdr:colOff>
      <xdr:row>25</xdr:row>
      <xdr:rowOff>21772</xdr:rowOff>
    </xdr:to>
    <xdr:graphicFrame macro="">
      <xdr:nvGraphicFramePr>
        <xdr:cNvPr id="2" name="Chart 1">
          <a:extLst>
            <a:ext uri="{FF2B5EF4-FFF2-40B4-BE49-F238E27FC236}">
              <a16:creationId xmlns:a16="http://schemas.microsoft.com/office/drawing/2014/main" id="{A478BB9D-19F3-4004-B652-630482EDE0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391884</xdr:colOff>
      <xdr:row>25</xdr:row>
      <xdr:rowOff>87086</xdr:rowOff>
    </xdr:from>
    <xdr:to>
      <xdr:col>18</xdr:col>
      <xdr:colOff>10886</xdr:colOff>
      <xdr:row>44</xdr:row>
      <xdr:rowOff>65314</xdr:rowOff>
    </xdr:to>
    <xdr:graphicFrame macro="">
      <xdr:nvGraphicFramePr>
        <xdr:cNvPr id="3" name="Chart 2">
          <a:extLst>
            <a:ext uri="{FF2B5EF4-FFF2-40B4-BE49-F238E27FC236}">
              <a16:creationId xmlns:a16="http://schemas.microsoft.com/office/drawing/2014/main" id="{737C6D31-91F7-424E-AF22-AC35CAC357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43543</xdr:colOff>
      <xdr:row>9</xdr:row>
      <xdr:rowOff>87086</xdr:rowOff>
    </xdr:from>
    <xdr:to>
      <xdr:col>2</xdr:col>
      <xdr:colOff>326572</xdr:colOff>
      <xdr:row>17</xdr:row>
      <xdr:rowOff>10885</xdr:rowOff>
    </xdr:to>
    <mc:AlternateContent xmlns:mc="http://schemas.openxmlformats.org/markup-compatibility/2006">
      <mc:Choice xmlns:a14="http://schemas.microsoft.com/office/drawing/2010/main" Requires="a14">
        <xdr:graphicFrame macro="">
          <xdr:nvGraphicFramePr>
            <xdr:cNvPr id="5" name="City">
              <a:extLst>
                <a:ext uri="{FF2B5EF4-FFF2-40B4-BE49-F238E27FC236}">
                  <a16:creationId xmlns:a16="http://schemas.microsoft.com/office/drawing/2014/main" id="{C7F8C464-4960-72E7-02A0-16587AFA045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43543" y="2927268"/>
              <a:ext cx="1502229" cy="13646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17</xdr:row>
      <xdr:rowOff>131717</xdr:rowOff>
    </xdr:from>
    <xdr:to>
      <xdr:col>2</xdr:col>
      <xdr:colOff>326571</xdr:colOff>
      <xdr:row>24</xdr:row>
      <xdr:rowOff>174173</xdr:rowOff>
    </xdr:to>
    <mc:AlternateContent xmlns:mc="http://schemas.openxmlformats.org/markup-compatibility/2006">
      <mc:Choice xmlns:a14="http://schemas.microsoft.com/office/drawing/2010/main" Requires="a14">
        <xdr:graphicFrame macro="">
          <xdr:nvGraphicFramePr>
            <xdr:cNvPr id="6" name="Product">
              <a:extLst>
                <a:ext uri="{FF2B5EF4-FFF2-40B4-BE49-F238E27FC236}">
                  <a16:creationId xmlns:a16="http://schemas.microsoft.com/office/drawing/2014/main" id="{50DF18EE-CD57-8E10-AA18-E2F13514C09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6200" y="4412772"/>
              <a:ext cx="1469571" cy="1303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56605</xdr:colOff>
      <xdr:row>25</xdr:row>
      <xdr:rowOff>56608</xdr:rowOff>
    </xdr:from>
    <xdr:to>
      <xdr:col>2</xdr:col>
      <xdr:colOff>337457</xdr:colOff>
      <xdr:row>34</xdr:row>
      <xdr:rowOff>55418</xdr:rowOff>
    </xdr:to>
    <mc:AlternateContent xmlns:mc="http://schemas.openxmlformats.org/markup-compatibility/2006">
      <mc:Choice xmlns:a14="http://schemas.microsoft.com/office/drawing/2010/main" Requires="a14">
        <xdr:graphicFrame macro="">
          <xdr:nvGraphicFramePr>
            <xdr:cNvPr id="7" name="Sales_Rep">
              <a:extLst>
                <a:ext uri="{FF2B5EF4-FFF2-40B4-BE49-F238E27FC236}">
                  <a16:creationId xmlns:a16="http://schemas.microsoft.com/office/drawing/2014/main" id="{B94BD74B-A112-983D-8A2B-6D68975F3B9E}"/>
                </a:ext>
              </a:extLst>
            </xdr:cNvPr>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dr:sp macro="" textlink="">
          <xdr:nvSpPr>
            <xdr:cNvPr id="0" name=""/>
            <xdr:cNvSpPr>
              <a:spLocks noTextEdit="1"/>
            </xdr:cNvSpPr>
          </xdr:nvSpPr>
          <xdr:spPr>
            <a:xfrm>
              <a:off x="56605" y="5778535"/>
              <a:ext cx="1500052" cy="16197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55418</xdr:colOff>
      <xdr:row>9</xdr:row>
      <xdr:rowOff>69271</xdr:rowOff>
    </xdr:from>
    <xdr:to>
      <xdr:col>18</xdr:col>
      <xdr:colOff>0</xdr:colOff>
      <xdr:row>25</xdr:row>
      <xdr:rowOff>27708</xdr:rowOff>
    </xdr:to>
    <xdr:graphicFrame macro="">
      <xdr:nvGraphicFramePr>
        <xdr:cNvPr id="10" name="Chart 9">
          <a:extLst>
            <a:ext uri="{FF2B5EF4-FFF2-40B4-BE49-F238E27FC236}">
              <a16:creationId xmlns:a16="http://schemas.microsoft.com/office/drawing/2014/main" id="{875B0465-15CF-490A-84BD-4883D9282D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83126</xdr:colOff>
      <xdr:row>3</xdr:row>
      <xdr:rowOff>69273</xdr:rowOff>
    </xdr:from>
    <xdr:to>
      <xdr:col>4</xdr:col>
      <xdr:colOff>332510</xdr:colOff>
      <xdr:row>8</xdr:row>
      <xdr:rowOff>443346</xdr:rowOff>
    </xdr:to>
    <xdr:sp macro="" textlink="">
      <xdr:nvSpPr>
        <xdr:cNvPr id="12" name="Rectangle: Rounded Corners 11">
          <a:extLst>
            <a:ext uri="{FF2B5EF4-FFF2-40B4-BE49-F238E27FC236}">
              <a16:creationId xmlns:a16="http://schemas.microsoft.com/office/drawing/2014/main" id="{A15ADF03-638D-AD7C-E6F4-353102C575C5}"/>
            </a:ext>
          </a:extLst>
        </xdr:cNvPr>
        <xdr:cNvSpPr/>
      </xdr:nvSpPr>
      <xdr:spPr>
        <a:xfrm>
          <a:off x="83126" y="1191491"/>
          <a:ext cx="2687784" cy="1607128"/>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latin typeface="Times New Roman" panose="02020603050405020304" pitchFamily="18" charset="0"/>
              <a:cs typeface="Times New Roman" panose="02020603050405020304" pitchFamily="18" charset="0"/>
            </a:rPr>
            <a:t>TOTAL</a:t>
          </a:r>
          <a:r>
            <a:rPr lang="en-IN" sz="1800" b="1" baseline="0">
              <a:solidFill>
                <a:schemeClr val="bg1"/>
              </a:solidFill>
              <a:latin typeface="Times New Roman" panose="02020603050405020304" pitchFamily="18" charset="0"/>
              <a:cs typeface="Times New Roman" panose="02020603050405020304" pitchFamily="18" charset="0"/>
            </a:rPr>
            <a:t> REVENENUE</a:t>
          </a:r>
        </a:p>
        <a:p>
          <a:pPr algn="l"/>
          <a:endParaRPr lang="en-IN" sz="1600" b="1" baseline="0">
            <a:solidFill>
              <a:schemeClr val="bg1"/>
            </a:solidFill>
            <a:latin typeface="Times New Roman" panose="02020603050405020304" pitchFamily="18" charset="0"/>
            <a:cs typeface="Times New Roman" panose="02020603050405020304" pitchFamily="18" charset="0"/>
          </a:endParaRPr>
        </a:p>
        <a:p>
          <a:pPr algn="l"/>
          <a:r>
            <a:rPr lang="en-IN" sz="3200" b="1" baseline="0">
              <a:solidFill>
                <a:schemeClr val="bg1"/>
              </a:solidFill>
              <a:latin typeface="Times New Roman" panose="02020603050405020304" pitchFamily="18" charset="0"/>
              <a:cs typeface="Times New Roman" panose="02020603050405020304" pitchFamily="18" charset="0"/>
            </a:rPr>
            <a:t>  $ 10,30,000 </a:t>
          </a:r>
          <a:endParaRPr lang="en-IN" sz="32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484909</xdr:colOff>
      <xdr:row>3</xdr:row>
      <xdr:rowOff>69272</xdr:rowOff>
    </xdr:from>
    <xdr:to>
      <xdr:col>9</xdr:col>
      <xdr:colOff>55418</xdr:colOff>
      <xdr:row>8</xdr:row>
      <xdr:rowOff>443345</xdr:rowOff>
    </xdr:to>
    <xdr:sp macro="" textlink="">
      <xdr:nvSpPr>
        <xdr:cNvPr id="13" name="Rectangle: Rounded Corners 12">
          <a:extLst>
            <a:ext uri="{FF2B5EF4-FFF2-40B4-BE49-F238E27FC236}">
              <a16:creationId xmlns:a16="http://schemas.microsoft.com/office/drawing/2014/main" id="{D6388AEB-73B8-103A-4680-449CA1D72415}"/>
            </a:ext>
          </a:extLst>
        </xdr:cNvPr>
        <xdr:cNvSpPr/>
      </xdr:nvSpPr>
      <xdr:spPr>
        <a:xfrm>
          <a:off x="2923309" y="1191490"/>
          <a:ext cx="2618509" cy="1607128"/>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Times New Roman" panose="02020603050405020304" pitchFamily="18" charset="0"/>
              <a:cs typeface="Times New Roman" panose="02020603050405020304" pitchFamily="18" charset="0"/>
            </a:rPr>
            <a:t>ORDERS</a:t>
          </a:r>
        </a:p>
        <a:p>
          <a:pPr algn="ctr"/>
          <a:endParaRPr lang="en-IN" sz="2000" b="1">
            <a:latin typeface="Times New Roman" panose="02020603050405020304" pitchFamily="18" charset="0"/>
            <a:cs typeface="Times New Roman" panose="02020603050405020304" pitchFamily="18" charset="0"/>
          </a:endParaRPr>
        </a:p>
        <a:p>
          <a:pPr algn="ctr"/>
          <a:r>
            <a:rPr lang="en-IN" sz="3200" b="1" i="0" u="none" strike="noStrike">
              <a:solidFill>
                <a:schemeClr val="lt1"/>
              </a:solidFill>
              <a:effectLst/>
              <a:latin typeface="Times New Roman" panose="02020603050405020304" pitchFamily="18" charset="0"/>
              <a:ea typeface="+mn-ea"/>
              <a:cs typeface="Times New Roman" panose="02020603050405020304" pitchFamily="18" charset="0"/>
            </a:rPr>
            <a:t>15</a:t>
          </a:r>
          <a:r>
            <a:rPr lang="en-IN" sz="2800" b="1">
              <a:effectLst/>
              <a:latin typeface="Times New Roman" panose="02020603050405020304" pitchFamily="18" charset="0"/>
              <a:cs typeface="Times New Roman" panose="02020603050405020304" pitchFamily="18" charset="0"/>
            </a:rPr>
            <a:t> </a:t>
          </a:r>
          <a:endParaRPr lang="en-IN" sz="2800" b="1">
            <a:latin typeface="Times New Roman" panose="02020603050405020304" pitchFamily="18" charset="0"/>
            <a:cs typeface="Times New Roman" panose="02020603050405020304" pitchFamily="18" charset="0"/>
          </a:endParaRPr>
        </a:p>
      </xdr:txBody>
    </xdr:sp>
    <xdr:clientData/>
  </xdr:twoCellAnchor>
  <xdr:twoCellAnchor>
    <xdr:from>
      <xdr:col>9</xdr:col>
      <xdr:colOff>207816</xdr:colOff>
      <xdr:row>3</xdr:row>
      <xdr:rowOff>96984</xdr:rowOff>
    </xdr:from>
    <xdr:to>
      <xdr:col>13</xdr:col>
      <xdr:colOff>318654</xdr:colOff>
      <xdr:row>8</xdr:row>
      <xdr:rowOff>457201</xdr:rowOff>
    </xdr:to>
    <xdr:grpSp>
      <xdr:nvGrpSpPr>
        <xdr:cNvPr id="19" name="Group 18">
          <a:extLst>
            <a:ext uri="{FF2B5EF4-FFF2-40B4-BE49-F238E27FC236}">
              <a16:creationId xmlns:a16="http://schemas.microsoft.com/office/drawing/2014/main" id="{2F7AFAD9-C40F-AE53-D3C4-3FA0C2F530AB}"/>
            </a:ext>
          </a:extLst>
        </xdr:cNvPr>
        <xdr:cNvGrpSpPr/>
      </xdr:nvGrpSpPr>
      <xdr:grpSpPr>
        <a:xfrm>
          <a:off x="5694216" y="1219202"/>
          <a:ext cx="2549238" cy="1593272"/>
          <a:chOff x="5777344" y="1205104"/>
          <a:chExt cx="2549238" cy="1579419"/>
        </a:xfrm>
      </xdr:grpSpPr>
      <xdr:sp macro="" textlink="">
        <xdr:nvSpPr>
          <xdr:cNvPr id="14" name="Rectangle: Rounded Corners 13">
            <a:extLst>
              <a:ext uri="{FF2B5EF4-FFF2-40B4-BE49-F238E27FC236}">
                <a16:creationId xmlns:a16="http://schemas.microsoft.com/office/drawing/2014/main" id="{A121AE2C-A089-ED2C-2486-47F4CA385AEB}"/>
              </a:ext>
            </a:extLst>
          </xdr:cNvPr>
          <xdr:cNvSpPr/>
        </xdr:nvSpPr>
        <xdr:spPr>
          <a:xfrm>
            <a:off x="5777344" y="1205104"/>
            <a:ext cx="2549238" cy="1579419"/>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i="0" u="none" strike="noStrike">
                <a:solidFill>
                  <a:schemeClr val="lt1"/>
                </a:solidFill>
                <a:effectLst/>
                <a:latin typeface="Times New Roman" panose="02020603050405020304" pitchFamily="18" charset="0"/>
                <a:ea typeface="+mn-ea"/>
                <a:cs typeface="Times New Roman" panose="02020603050405020304" pitchFamily="18" charset="0"/>
              </a:rPr>
              <a:t>TOP PRODUCT</a:t>
            </a:r>
          </a:p>
          <a:p>
            <a:pPr algn="ctr"/>
            <a:r>
              <a:rPr lang="en-IN" sz="2000" b="1">
                <a:latin typeface="Times New Roman" panose="02020603050405020304" pitchFamily="18" charset="0"/>
                <a:cs typeface="Times New Roman" panose="02020603050405020304" pitchFamily="18" charset="0"/>
              </a:rPr>
              <a:t>LAPTOP</a:t>
            </a:r>
          </a:p>
          <a:p>
            <a:pPr algn="ctr"/>
            <a:endParaRPr lang="en-IN" sz="2000" b="1">
              <a:latin typeface="Times New Roman" panose="02020603050405020304" pitchFamily="18" charset="0"/>
              <a:cs typeface="Times New Roman" panose="02020603050405020304" pitchFamily="18" charset="0"/>
            </a:endParaRPr>
          </a:p>
          <a:p>
            <a:pPr algn="ctr"/>
            <a:endParaRPr lang="en-IN" sz="2000" b="1">
              <a:latin typeface="Times New Roman" panose="02020603050405020304" pitchFamily="18" charset="0"/>
              <a:cs typeface="Times New Roman" panose="02020603050405020304" pitchFamily="18" charset="0"/>
            </a:endParaRPr>
          </a:p>
        </xdr:txBody>
      </xdr:sp>
      <xdr:sp macro="" textlink="">
        <xdr:nvSpPr>
          <xdr:cNvPr id="17" name="Oval 16">
            <a:extLst>
              <a:ext uri="{FF2B5EF4-FFF2-40B4-BE49-F238E27FC236}">
                <a16:creationId xmlns:a16="http://schemas.microsoft.com/office/drawing/2014/main" id="{9CFCD416-DA5B-F4A2-9BDB-6DD2452FF225}"/>
              </a:ext>
            </a:extLst>
          </xdr:cNvPr>
          <xdr:cNvSpPr/>
        </xdr:nvSpPr>
        <xdr:spPr>
          <a:xfrm>
            <a:off x="7453746" y="1981200"/>
            <a:ext cx="720436" cy="595746"/>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tx1"/>
                </a:solidFill>
                <a:latin typeface="Times New Roman" panose="02020603050405020304" pitchFamily="18" charset="0"/>
                <a:cs typeface="Times New Roman" panose="02020603050405020304" pitchFamily="18" charset="0"/>
              </a:rPr>
              <a:t>6</a:t>
            </a:r>
          </a:p>
        </xdr:txBody>
      </xdr:sp>
    </xdr:grpSp>
    <xdr:clientData/>
  </xdr:twoCellAnchor>
  <xdr:twoCellAnchor>
    <xdr:from>
      <xdr:col>13</xdr:col>
      <xdr:colOff>415637</xdr:colOff>
      <xdr:row>3</xdr:row>
      <xdr:rowOff>69274</xdr:rowOff>
    </xdr:from>
    <xdr:to>
      <xdr:col>17</xdr:col>
      <xdr:colOff>526474</xdr:colOff>
      <xdr:row>8</xdr:row>
      <xdr:rowOff>429492</xdr:rowOff>
    </xdr:to>
    <xdr:grpSp>
      <xdr:nvGrpSpPr>
        <xdr:cNvPr id="23" name="Group 22">
          <a:extLst>
            <a:ext uri="{FF2B5EF4-FFF2-40B4-BE49-F238E27FC236}">
              <a16:creationId xmlns:a16="http://schemas.microsoft.com/office/drawing/2014/main" id="{806F3347-F7F6-4232-BA34-F771DE7AEA7F}"/>
            </a:ext>
          </a:extLst>
        </xdr:cNvPr>
        <xdr:cNvGrpSpPr/>
      </xdr:nvGrpSpPr>
      <xdr:grpSpPr>
        <a:xfrm>
          <a:off x="8340437" y="1191492"/>
          <a:ext cx="2549237" cy="1593273"/>
          <a:chOff x="5882640" y="10424160"/>
          <a:chExt cx="2549237" cy="1593273"/>
        </a:xfrm>
      </xdr:grpSpPr>
      <xdr:sp macro="" textlink="">
        <xdr:nvSpPr>
          <xdr:cNvPr id="24" name="Rectangle: Rounded Corners 23">
            <a:extLst>
              <a:ext uri="{FF2B5EF4-FFF2-40B4-BE49-F238E27FC236}">
                <a16:creationId xmlns:a16="http://schemas.microsoft.com/office/drawing/2014/main" id="{04FCD2D1-741F-A82F-477D-5536493DF81F}"/>
              </a:ext>
            </a:extLst>
          </xdr:cNvPr>
          <xdr:cNvSpPr/>
        </xdr:nvSpPr>
        <xdr:spPr>
          <a:xfrm>
            <a:off x="5882640" y="10424160"/>
            <a:ext cx="2549237" cy="1593273"/>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Times New Roman" panose="02020603050405020304" pitchFamily="18" charset="0"/>
                <a:cs typeface="Times New Roman" panose="02020603050405020304" pitchFamily="18" charset="0"/>
              </a:rPr>
              <a:t>TOP</a:t>
            </a:r>
            <a:r>
              <a:rPr lang="en-IN" sz="2000" b="1" baseline="0">
                <a:latin typeface="Times New Roman" panose="02020603050405020304" pitchFamily="18" charset="0"/>
                <a:cs typeface="Times New Roman" panose="02020603050405020304" pitchFamily="18" charset="0"/>
              </a:rPr>
              <a:t> CITY</a:t>
            </a:r>
          </a:p>
          <a:p>
            <a:pPr algn="ctr"/>
            <a:r>
              <a:rPr lang="en-IN" sz="2000" b="1" i="0" u="none" strike="noStrike">
                <a:solidFill>
                  <a:schemeClr val="lt1"/>
                </a:solidFill>
                <a:effectLst/>
                <a:latin typeface="Times New Roman" panose="02020603050405020304" pitchFamily="18" charset="0"/>
                <a:ea typeface="+mn-ea"/>
                <a:cs typeface="Times New Roman" panose="02020603050405020304" pitchFamily="18" charset="0"/>
              </a:rPr>
              <a:t>Bangalore</a:t>
            </a:r>
          </a:p>
          <a:p>
            <a:pPr algn="ctr"/>
            <a:endParaRPr lang="en-IN" sz="2000" b="1" i="0" u="none" strike="noStrike">
              <a:solidFill>
                <a:schemeClr val="lt1"/>
              </a:solidFill>
              <a:effectLst/>
              <a:latin typeface="Times New Roman" panose="02020603050405020304" pitchFamily="18" charset="0"/>
              <a:ea typeface="+mn-ea"/>
              <a:cs typeface="Times New Roman" panose="02020603050405020304" pitchFamily="18" charset="0"/>
            </a:endParaRPr>
          </a:p>
          <a:p>
            <a:pPr algn="l"/>
            <a:r>
              <a:rPr lang="en-IN" sz="1200" b="1">
                <a:effectLst/>
                <a:latin typeface="Times New Roman" panose="02020603050405020304" pitchFamily="18" charset="0"/>
                <a:cs typeface="Times New Roman" panose="02020603050405020304" pitchFamily="18" charset="0"/>
              </a:rPr>
              <a:t>   Revenue</a:t>
            </a:r>
          </a:p>
          <a:p>
            <a:pPr algn="l"/>
            <a:r>
              <a:rPr lang="en-IN" sz="2000" b="1">
                <a:effectLst/>
                <a:latin typeface="Times New Roman" panose="02020603050405020304" pitchFamily="18" charset="0"/>
                <a:cs typeface="Times New Roman" panose="02020603050405020304" pitchFamily="18" charset="0"/>
              </a:rPr>
              <a:t> </a:t>
            </a:r>
            <a:r>
              <a:rPr lang="en-IN" sz="1400" b="1">
                <a:effectLst/>
                <a:latin typeface="Times New Roman" panose="02020603050405020304" pitchFamily="18" charset="0"/>
                <a:cs typeface="Times New Roman" panose="02020603050405020304" pitchFamily="18" charset="0"/>
              </a:rPr>
              <a:t>$ </a:t>
            </a:r>
            <a:r>
              <a:rPr lang="en-IN" sz="1400" b="1" i="0" u="none" strike="noStrike">
                <a:solidFill>
                  <a:schemeClr val="lt1"/>
                </a:solidFill>
                <a:effectLst/>
                <a:latin typeface="Times New Roman" panose="02020603050405020304" pitchFamily="18" charset="0"/>
                <a:ea typeface="+mn-ea"/>
                <a:cs typeface="Times New Roman" panose="02020603050405020304" pitchFamily="18" charset="0"/>
              </a:rPr>
              <a:t>4,70,000</a:t>
            </a:r>
            <a:r>
              <a:rPr lang="en-IN" sz="1400">
                <a:effectLst/>
                <a:latin typeface="Times New Roman" panose="02020603050405020304" pitchFamily="18" charset="0"/>
                <a:cs typeface="Times New Roman" panose="02020603050405020304" pitchFamily="18" charset="0"/>
              </a:rPr>
              <a:t> </a:t>
            </a:r>
            <a:endParaRPr lang="en-IN" sz="1400" b="1">
              <a:latin typeface="Times New Roman" panose="02020603050405020304" pitchFamily="18" charset="0"/>
              <a:cs typeface="Times New Roman" panose="02020603050405020304" pitchFamily="18" charset="0"/>
            </a:endParaRPr>
          </a:p>
        </xdr:txBody>
      </xdr:sp>
      <xdr:sp macro="" textlink="">
        <xdr:nvSpPr>
          <xdr:cNvPr id="25" name="Oval 24">
            <a:extLst>
              <a:ext uri="{FF2B5EF4-FFF2-40B4-BE49-F238E27FC236}">
                <a16:creationId xmlns:a16="http://schemas.microsoft.com/office/drawing/2014/main" id="{A24694B7-7333-D0F7-7D58-C0B488BE6BD8}"/>
              </a:ext>
            </a:extLst>
          </xdr:cNvPr>
          <xdr:cNvSpPr/>
        </xdr:nvSpPr>
        <xdr:spPr>
          <a:xfrm>
            <a:off x="7376160" y="11262360"/>
            <a:ext cx="868680" cy="69342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1000" b="1" i="0">
              <a:solidFill>
                <a:schemeClr val="tx1"/>
              </a:solidFill>
              <a:effectLst/>
              <a:latin typeface="Times New Roman" panose="02020603050405020304" pitchFamily="18" charset="0"/>
              <a:ea typeface="+mn-ea"/>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000" b="1" i="0">
                <a:solidFill>
                  <a:schemeClr val="tx1"/>
                </a:solidFill>
                <a:effectLst/>
                <a:latin typeface="Times New Roman" panose="02020603050405020304" pitchFamily="18" charset="0"/>
                <a:ea typeface="+mn-ea"/>
                <a:cs typeface="Times New Roman" panose="02020603050405020304" pitchFamily="18" charset="0"/>
              </a:rPr>
              <a:t>45.63%</a:t>
            </a:r>
            <a:r>
              <a:rPr lang="en-IN" sz="1000" b="1">
                <a:solidFill>
                  <a:schemeClr val="tx1"/>
                </a:solidFill>
                <a:effectLst/>
                <a:latin typeface="Times New Roman" panose="02020603050405020304" pitchFamily="18" charset="0"/>
                <a:ea typeface="+mn-ea"/>
                <a:cs typeface="Times New Roman" panose="02020603050405020304" pitchFamily="18" charset="0"/>
              </a:rPr>
              <a:t> </a:t>
            </a:r>
            <a:endParaRPr lang="en-IN" sz="1000" b="1">
              <a:solidFill>
                <a:schemeClr val="tx1"/>
              </a:solidFill>
              <a:effectLst/>
              <a:latin typeface="Times New Roman" panose="02020603050405020304" pitchFamily="18" charset="0"/>
              <a:cs typeface="Times New Roman" panose="02020603050405020304" pitchFamily="18" charset="0"/>
            </a:endParaRPr>
          </a:p>
          <a:p>
            <a:pPr algn="l"/>
            <a:endParaRPr lang="en-IN" sz="1000">
              <a:solidFill>
                <a:schemeClr val="tx1"/>
              </a:solidFill>
              <a:latin typeface="Times New Roman" panose="02020603050405020304" pitchFamily="18" charset="0"/>
              <a:cs typeface="Times New Roman" panose="02020603050405020304" pitchFamily="18" charset="0"/>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U" refreshedDate="46188.34673020833" createdVersion="8" refreshedVersion="8" minRefreshableVersion="3" recordCount="15" xr:uid="{75853FA1-62CE-499A-92E7-77AE7B878661}">
  <cacheSource type="worksheet">
    <worksheetSource ref="A1:H16" sheet="cleaned"/>
  </cacheSource>
  <cacheFields count="8">
    <cacheField name="Order_ID" numFmtId="0">
      <sharedItems containsSemiMixedTypes="0" containsString="0" containsNumber="1" containsInteger="1" minValue="1001" maxValue="1015" count="15">
        <n v="1001"/>
        <n v="1002"/>
        <n v="1003"/>
        <n v="1004"/>
        <n v="1005"/>
        <n v="1006"/>
        <n v="1007"/>
        <n v="1008"/>
        <n v="1009"/>
        <n v="1010"/>
        <n v="1011"/>
        <n v="1012"/>
        <n v="1013"/>
        <n v="1014"/>
        <n v="1015"/>
      </sharedItems>
    </cacheField>
    <cacheField name="Customer_Name" numFmtId="0">
      <sharedItems/>
    </cacheField>
    <cacheField name="City" numFmtId="0">
      <sharedItems count="3">
        <s v="Bangalore"/>
        <s v="Mysore"/>
        <s v="Hassan"/>
      </sharedItems>
    </cacheField>
    <cacheField name="Product" numFmtId="0">
      <sharedItems count="3">
        <s v="Laptop"/>
        <s v="Mobile"/>
        <s v="Tablet"/>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15000" maxValue="50000"/>
    </cacheField>
    <cacheField name="Sales_Rep" numFmtId="0">
      <sharedItems count="3">
        <s v="Ravi"/>
        <s v="Anu"/>
        <s v="Deepa"/>
      </sharedItems>
    </cacheField>
    <cacheField name="total_revenue" numFmtId="0">
      <sharedItems containsSemiMixedTypes="0" containsString="0" containsNumber="1" containsInteger="1" minValue="30000" maxValue="150000"/>
    </cacheField>
  </cacheFields>
  <extLst>
    <ext xmlns:x14="http://schemas.microsoft.com/office/spreadsheetml/2009/9/main" uri="{725AE2AE-9491-48be-B2B4-4EB974FC3084}">
      <x14:pivotCacheDefinition pivotCacheId="7204509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s v=" Sanju "/>
    <x v="0"/>
    <x v="0"/>
    <n v="2"/>
    <n v="50000"/>
    <x v="0"/>
    <n v="100000"/>
  </r>
  <r>
    <x v="1"/>
    <s v="Ravi"/>
    <x v="1"/>
    <x v="1"/>
    <n v="3"/>
    <n v="25000"/>
    <x v="1"/>
    <n v="75000"/>
  </r>
  <r>
    <x v="2"/>
    <s v="Priya"/>
    <x v="0"/>
    <x v="0"/>
    <n v="1"/>
    <n v="50000"/>
    <x v="0"/>
    <n v="50000"/>
  </r>
  <r>
    <x v="3"/>
    <s v="Kiran"/>
    <x v="2"/>
    <x v="2"/>
    <n v="4"/>
    <n v="15000"/>
    <x v="2"/>
    <n v="60000"/>
  </r>
  <r>
    <x v="4"/>
    <s v="Anu"/>
    <x v="1"/>
    <x v="0"/>
    <n v="2"/>
    <n v="50000"/>
    <x v="2"/>
    <n v="100000"/>
  </r>
  <r>
    <x v="5"/>
    <s v="Deepa"/>
    <x v="0"/>
    <x v="1"/>
    <n v="5"/>
    <n v="25000"/>
    <x v="0"/>
    <n v="125000"/>
  </r>
  <r>
    <x v="6"/>
    <s v="Nikhil"/>
    <x v="2"/>
    <x v="0"/>
    <n v="1"/>
    <n v="50000"/>
    <x v="1"/>
    <n v="50000"/>
  </r>
  <r>
    <x v="7"/>
    <s v="Meena"/>
    <x v="1"/>
    <x v="2"/>
    <n v="2"/>
    <n v="15000"/>
    <x v="2"/>
    <n v="30000"/>
  </r>
  <r>
    <x v="8"/>
    <s v="Sanju"/>
    <x v="0"/>
    <x v="1"/>
    <n v="2"/>
    <n v="25000"/>
    <x v="0"/>
    <n v="50000"/>
  </r>
  <r>
    <x v="9"/>
    <s v="Kavya"/>
    <x v="2"/>
    <x v="0"/>
    <n v="3"/>
    <n v="50000"/>
    <x v="1"/>
    <n v="150000"/>
  </r>
  <r>
    <x v="10"/>
    <s v="Rahul"/>
    <x v="0"/>
    <x v="1"/>
    <n v="2"/>
    <n v="25000"/>
    <x v="0"/>
    <n v="50000"/>
  </r>
  <r>
    <x v="11"/>
    <s v="Pooja"/>
    <x v="0"/>
    <x v="2"/>
    <n v="3"/>
    <n v="15000"/>
    <x v="2"/>
    <n v="45000"/>
  </r>
  <r>
    <x v="12"/>
    <s v="Arun"/>
    <x v="1"/>
    <x v="0"/>
    <n v="1"/>
    <n v="50000"/>
    <x v="1"/>
    <n v="50000"/>
  </r>
  <r>
    <x v="13"/>
    <s v="Priya"/>
    <x v="0"/>
    <x v="1"/>
    <n v="2"/>
    <n v="25000"/>
    <x v="0"/>
    <n v="50000"/>
  </r>
  <r>
    <x v="14"/>
    <s v=" Kiran "/>
    <x v="2"/>
    <x v="2"/>
    <n v="3"/>
    <n v="15000"/>
    <x v="2"/>
    <n v="4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E644B5-3A89-407F-8A48-27AA7150FF06}"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B20:C24" firstHeaderRow="1" firstDataRow="1" firstDataCol="1"/>
  <pivotFields count="8">
    <pivotField showAll="0"/>
    <pivotField showAll="0"/>
    <pivotField axis="axisRow" showAll="0">
      <items count="4">
        <item x="0"/>
        <item x="2"/>
        <item x="1"/>
        <item t="default"/>
      </items>
    </pivotField>
    <pivotField showAll="0">
      <items count="4">
        <item x="0"/>
        <item x="1"/>
        <item x="2"/>
        <item t="default"/>
      </items>
    </pivotField>
    <pivotField showAll="0"/>
    <pivotField showAll="0"/>
    <pivotField showAll="0">
      <items count="4">
        <item x="1"/>
        <item x="2"/>
        <item x="0"/>
        <item t="default"/>
      </items>
    </pivotField>
    <pivotField dataField="1" showAll="0"/>
  </pivotFields>
  <rowFields count="1">
    <field x="2"/>
  </rowFields>
  <rowItems count="4">
    <i>
      <x/>
    </i>
    <i>
      <x v="1"/>
    </i>
    <i>
      <x v="2"/>
    </i>
    <i t="grand">
      <x/>
    </i>
  </rowItems>
  <colItems count="1">
    <i/>
  </colItems>
  <dataFields count="1">
    <dataField name="Sum of total_reven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710439-1717-4FF2-8BC8-348398AD414C}" name="PivotTable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4:D58" firstHeaderRow="0" firstDataRow="1" firstDataCol="1"/>
  <pivotFields count="8">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dataField="1" showAll="0"/>
  </pivotFields>
  <rowFields count="1">
    <field x="2"/>
  </rowFields>
  <rowItems count="4">
    <i>
      <x/>
    </i>
    <i>
      <x v="1"/>
    </i>
    <i>
      <x v="2"/>
    </i>
    <i t="grand">
      <x/>
    </i>
  </rowItems>
  <colFields count="1">
    <field x="-2"/>
  </colFields>
  <colItems count="2">
    <i>
      <x/>
    </i>
    <i i="1">
      <x v="1"/>
    </i>
  </colItems>
  <dataFields count="2">
    <dataField name="Sum of total_revenue" fld="7" baseField="0" baseItem="0"/>
    <dataField name="Sum of total_revenue2" fld="7" showDataAs="percentOfTotal" baseField="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1FFF7E-C203-467F-8742-4C1E83ABEB77}" name="PivotTable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46:B50" firstHeaderRow="1" firstDataRow="1" firstDataCol="1"/>
  <pivotFields count="8">
    <pivotField dataField="1" showAll="0">
      <items count="16">
        <item x="0"/>
        <item x="1"/>
        <item x="2"/>
        <item x="3"/>
        <item x="4"/>
        <item x="5"/>
        <item x="6"/>
        <item x="7"/>
        <item x="8"/>
        <item x="9"/>
        <item x="10"/>
        <item x="11"/>
        <item x="12"/>
        <item x="13"/>
        <item x="14"/>
        <item t="default"/>
      </items>
    </pivotField>
    <pivotField showAll="0"/>
    <pivotField showAll="0">
      <items count="4">
        <item x="0"/>
        <item x="2"/>
        <item x="1"/>
        <item t="default"/>
      </items>
    </pivotField>
    <pivotField showAll="0">
      <items count="4">
        <item x="0"/>
        <item x="1"/>
        <item x="2"/>
        <item t="default"/>
      </items>
    </pivotField>
    <pivotField showAll="0"/>
    <pivotField showAll="0"/>
    <pivotField axis="axisRow" showAll="0">
      <items count="4">
        <item x="1"/>
        <item x="2"/>
        <item x="0"/>
        <item t="default"/>
      </items>
    </pivotField>
    <pivotField showAll="0"/>
  </pivotFields>
  <rowFields count="1">
    <field x="6"/>
  </rowFields>
  <rowItems count="4">
    <i>
      <x/>
    </i>
    <i>
      <x v="1"/>
    </i>
    <i>
      <x v="2"/>
    </i>
    <i t="grand">
      <x/>
    </i>
  </rowItems>
  <colItems count="1">
    <i/>
  </colItems>
  <dataFields count="1">
    <dataField name="Count of Order_ID" fld="0" subtotal="count" baseField="6" baseItem="0"/>
  </dataFields>
  <chartFormats count="5">
    <chartFormat chart="18"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6" count="1" selected="0">
            <x v="0"/>
          </reference>
        </references>
      </pivotArea>
    </chartFormat>
    <chartFormat chart="21" format="7">
      <pivotArea type="data" outline="0" fieldPosition="0">
        <references count="2">
          <reference field="4294967294" count="1" selected="0">
            <x v="0"/>
          </reference>
          <reference field="6" count="1" selected="0">
            <x v="1"/>
          </reference>
        </references>
      </pivotArea>
    </chartFormat>
    <chartFormat chart="21"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7E1317-266C-45F9-8EFF-6DE1B9DB3CCD}"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1:E36" firstHeaderRow="1" firstDataRow="2" firstDataCol="1"/>
  <pivotFields count="8">
    <pivotField showAll="0"/>
    <pivotField showAll="0"/>
    <pivotField axis="axisRow" showAll="0">
      <items count="4">
        <item x="0"/>
        <item x="2"/>
        <item x="1"/>
        <item t="default"/>
      </items>
    </pivotField>
    <pivotField axis="axisCol" dataField="1" showAll="0">
      <items count="4">
        <item x="0"/>
        <item x="1"/>
        <item x="2"/>
        <item t="default"/>
      </items>
    </pivotField>
    <pivotField showAll="0"/>
    <pivotField showAll="0"/>
    <pivotField showAll="0">
      <items count="4">
        <item x="1"/>
        <item x="2"/>
        <item x="0"/>
        <item t="default"/>
      </items>
    </pivotField>
    <pivotField showAll="0"/>
  </pivotFields>
  <rowFields count="1">
    <field x="2"/>
  </rowFields>
  <rowItems count="4">
    <i>
      <x/>
    </i>
    <i>
      <x v="1"/>
    </i>
    <i>
      <x v="2"/>
    </i>
    <i t="grand">
      <x/>
    </i>
  </rowItems>
  <colFields count="1">
    <field x="3"/>
  </colFields>
  <colItems count="4">
    <i>
      <x/>
    </i>
    <i>
      <x v="1"/>
    </i>
    <i>
      <x v="2"/>
    </i>
    <i t="grand">
      <x/>
    </i>
  </colItems>
  <dataFields count="1">
    <dataField name="Count of Product" fld="3" subtotal="count" baseField="0" baseItem="0"/>
  </dataFields>
  <chartFormats count="7">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3" format="2" series="1">
      <pivotArea type="data" outline="0" fieldPosition="0">
        <references count="2">
          <reference field="4294967294" count="1" selected="0">
            <x v="0"/>
          </reference>
          <reference field="3" count="1" selected="0">
            <x v="2"/>
          </reference>
        </references>
      </pivotArea>
    </chartFormat>
    <chartFormat chart="3" format="3" series="1">
      <pivotArea type="data" outline="0" fieldPosition="0">
        <references count="1">
          <reference field="4294967294" count="1" selected="0">
            <x v="0"/>
          </reference>
        </references>
      </pivotArea>
    </chartFormat>
    <chartFormat chart="6" format="4" series="1">
      <pivotArea type="data" outline="0" fieldPosition="0">
        <references count="2">
          <reference field="4294967294" count="1" selected="0">
            <x v="0"/>
          </reference>
          <reference field="3" count="1" selected="0">
            <x v="0"/>
          </reference>
        </references>
      </pivotArea>
    </chartFormat>
    <chartFormat chart="6" format="5" series="1">
      <pivotArea type="data" outline="0" fieldPosition="0">
        <references count="2">
          <reference field="4294967294" count="1" selected="0">
            <x v="0"/>
          </reference>
          <reference field="3" count="1" selected="0">
            <x v="1"/>
          </reference>
        </references>
      </pivotArea>
    </chartFormat>
    <chartFormat chart="6" format="6"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929752-BA67-4A29-B2F5-3BD17D10A290}"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9:B23" firstHeaderRow="1" firstDataRow="1" firstDataCol="1"/>
  <pivotFields count="8">
    <pivotField showAll="0"/>
    <pivotField showAll="0"/>
    <pivotField showAll="0">
      <items count="4">
        <item x="0"/>
        <item x="2"/>
        <item x="1"/>
        <item t="default"/>
      </items>
    </pivotField>
    <pivotField axis="axisRow" showAll="0">
      <items count="4">
        <item x="0"/>
        <item x="1"/>
        <item x="2"/>
        <item t="default"/>
      </items>
    </pivotField>
    <pivotField showAll="0"/>
    <pivotField showAll="0"/>
    <pivotField showAll="0">
      <items count="4">
        <item x="1"/>
        <item x="2"/>
        <item x="0"/>
        <item t="default"/>
      </items>
    </pivotField>
    <pivotField dataField="1" showAll="0"/>
  </pivotFields>
  <rowFields count="1">
    <field x="3"/>
  </rowFields>
  <rowItems count="4">
    <i>
      <x/>
    </i>
    <i>
      <x v="1"/>
    </i>
    <i>
      <x v="2"/>
    </i>
    <i t="grand">
      <x/>
    </i>
  </rowItems>
  <colItems count="1">
    <i/>
  </colItems>
  <dataFields count="1">
    <dataField name="Sum of total_revenue" fld="7" baseField="0" baseItem="0"/>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04FDE8-4845-44EC-B797-8DCB05112421}"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A2:B6" firstHeaderRow="1" firstDataRow="1" firstDataCol="1"/>
  <pivotFields count="8">
    <pivotField showAll="0"/>
    <pivotField showAll="0"/>
    <pivotField axis="axisRow" showAll="0">
      <items count="4">
        <item x="0"/>
        <item x="2"/>
        <item x="1"/>
        <item t="default"/>
      </items>
    </pivotField>
    <pivotField showAll="0">
      <items count="4">
        <item x="0"/>
        <item x="1"/>
        <item x="2"/>
        <item t="default"/>
      </items>
    </pivotField>
    <pivotField showAll="0"/>
    <pivotField showAll="0"/>
    <pivotField showAll="0">
      <items count="4">
        <item x="1"/>
        <item x="2"/>
        <item x="0"/>
        <item t="default"/>
      </items>
    </pivotField>
    <pivotField dataField="1" showAll="0"/>
  </pivotFields>
  <rowFields count="1">
    <field x="2"/>
  </rowFields>
  <rowItems count="4">
    <i>
      <x/>
    </i>
    <i>
      <x v="1"/>
    </i>
    <i>
      <x v="2"/>
    </i>
    <i t="grand">
      <x/>
    </i>
  </rowItems>
  <colItems count="1">
    <i/>
  </colItems>
  <dataFields count="1">
    <dataField name="Sum of total_revenue" fld="7" baseField="0" baseItem="0"/>
  </dataFields>
  <chartFormats count="3">
    <chartFormat chart="33" format="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5F9BF99-0114-4D0C-A32F-31784E50D9A1}" sourceName="City">
  <pivotTables>
    <pivotTable tabId="4" name="PivotTable3"/>
    <pivotTable tabId="1" name="PivotTable1"/>
    <pivotTable tabId="4" name="PivotTable5"/>
    <pivotTable tabId="4" name="PivotTable6"/>
    <pivotTable tabId="4" name="PivotTable8"/>
  </pivotTables>
  <data>
    <tabular pivotCacheId="720450917">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48EFB97-7974-41E4-B0A3-806C065005FF}" sourceName="Product">
  <pivotTables>
    <pivotTable tabId="4" name="PivotTable3"/>
    <pivotTable tabId="1" name="PivotTable1"/>
    <pivotTable tabId="4" name="PivotTable5"/>
    <pivotTable tabId="4" name="PivotTable6"/>
    <pivotTable tabId="4" name="PivotTable8"/>
  </pivotTables>
  <data>
    <tabular pivotCacheId="72045091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A7AEDF83-0E3E-45B2-9693-5D5FEC142480}" sourceName="Sales_Rep">
  <pivotTables>
    <pivotTable tabId="4" name="PivotTable3"/>
    <pivotTable tabId="1" name="PivotTable1"/>
    <pivotTable tabId="4" name="PivotTable5"/>
    <pivotTable tabId="4" name="PivotTable6"/>
    <pivotTable tabId="4" name="PivotTable8"/>
  </pivotTables>
  <data>
    <tabular pivotCacheId="720450917">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AF0BA551-48B8-4205-98D9-BC7AEE2FC57F}" cache="Slicer_City" caption="City" rowHeight="234950"/>
  <slicer name="Product" xr10:uid="{3F9473D3-9FDB-46D8-9B36-345ACECE9410}" cache="Slicer_Product" caption="Product" rowHeight="234950"/>
  <slicer name="Sales_Rep" xr10:uid="{81092EFC-AB18-4C0A-B240-229B72741909}" cache="Slicer_Sales_Rep" caption="Sales_Rep"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1.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63500-2D3B-4461-BA74-0A4E9D6E5AD7}">
  <dimension ref="A1:G17"/>
  <sheetViews>
    <sheetView workbookViewId="0">
      <selection activeCell="A4" sqref="A4"/>
    </sheetView>
  </sheetViews>
  <sheetFormatPr defaultRowHeight="14.4" x14ac:dyDescent="0.3"/>
  <sheetData>
    <row r="1" spans="1:7" x14ac:dyDescent="0.3">
      <c r="A1" t="s">
        <v>0</v>
      </c>
      <c r="B1" t="s">
        <v>1</v>
      </c>
      <c r="C1" t="s">
        <v>2</v>
      </c>
      <c r="D1" t="s">
        <v>3</v>
      </c>
      <c r="E1" t="s">
        <v>4</v>
      </c>
      <c r="F1" t="s">
        <v>5</v>
      </c>
      <c r="G1" t="s">
        <v>6</v>
      </c>
    </row>
    <row r="2" spans="1:7" x14ac:dyDescent="0.3">
      <c r="A2">
        <v>1001</v>
      </c>
      <c r="B2" t="s">
        <v>7</v>
      </c>
      <c r="C2" t="s">
        <v>8</v>
      </c>
      <c r="D2" t="s">
        <v>9</v>
      </c>
      <c r="E2">
        <v>2</v>
      </c>
      <c r="F2">
        <v>50000</v>
      </c>
      <c r="G2" t="s">
        <v>10</v>
      </c>
    </row>
    <row r="3" spans="1:7" x14ac:dyDescent="0.3">
      <c r="A3">
        <v>1002</v>
      </c>
      <c r="B3" t="s">
        <v>11</v>
      </c>
      <c r="C3" t="s">
        <v>12</v>
      </c>
      <c r="D3" t="s">
        <v>13</v>
      </c>
      <c r="E3">
        <v>3</v>
      </c>
      <c r="F3">
        <v>25000</v>
      </c>
      <c r="G3" t="s">
        <v>14</v>
      </c>
    </row>
    <row r="4" spans="1:7" x14ac:dyDescent="0.3">
      <c r="A4">
        <v>1003</v>
      </c>
      <c r="B4" t="s">
        <v>15</v>
      </c>
      <c r="C4" t="s">
        <v>16</v>
      </c>
      <c r="D4" t="s">
        <v>9</v>
      </c>
      <c r="E4">
        <v>1</v>
      </c>
      <c r="F4">
        <v>50000</v>
      </c>
      <c r="G4" t="s">
        <v>10</v>
      </c>
    </row>
    <row r="5" spans="1:7" x14ac:dyDescent="0.3">
      <c r="A5">
        <v>1004</v>
      </c>
      <c r="B5" t="s">
        <v>17</v>
      </c>
      <c r="C5" t="s">
        <v>18</v>
      </c>
      <c r="D5" t="s">
        <v>19</v>
      </c>
      <c r="E5">
        <v>4</v>
      </c>
      <c r="F5">
        <v>15000</v>
      </c>
    </row>
    <row r="6" spans="1:7" x14ac:dyDescent="0.3">
      <c r="A6">
        <v>1005</v>
      </c>
      <c r="B6" t="s">
        <v>14</v>
      </c>
      <c r="C6" t="s">
        <v>20</v>
      </c>
      <c r="D6" t="s">
        <v>9</v>
      </c>
      <c r="E6">
        <v>2</v>
      </c>
      <c r="F6">
        <v>50000</v>
      </c>
      <c r="G6" t="s">
        <v>21</v>
      </c>
    </row>
    <row r="7" spans="1:7" x14ac:dyDescent="0.3">
      <c r="A7">
        <v>1006</v>
      </c>
      <c r="B7" t="s">
        <v>21</v>
      </c>
      <c r="C7" t="s">
        <v>22</v>
      </c>
      <c r="D7" t="s">
        <v>13</v>
      </c>
      <c r="E7">
        <v>5</v>
      </c>
      <c r="F7">
        <v>25000</v>
      </c>
      <c r="G7" t="s">
        <v>10</v>
      </c>
    </row>
    <row r="8" spans="1:7" x14ac:dyDescent="0.3">
      <c r="A8">
        <v>1007</v>
      </c>
      <c r="B8" t="s">
        <v>23</v>
      </c>
      <c r="C8" t="s">
        <v>24</v>
      </c>
      <c r="D8" t="s">
        <v>9</v>
      </c>
      <c r="E8">
        <v>1</v>
      </c>
      <c r="F8">
        <v>50000</v>
      </c>
      <c r="G8" t="s">
        <v>14</v>
      </c>
    </row>
    <row r="9" spans="1:7" x14ac:dyDescent="0.3">
      <c r="A9">
        <v>1008</v>
      </c>
      <c r="B9" t="s">
        <v>25</v>
      </c>
      <c r="C9" t="s">
        <v>12</v>
      </c>
      <c r="D9" t="s">
        <v>19</v>
      </c>
      <c r="E9">
        <v>2</v>
      </c>
      <c r="F9">
        <v>15000</v>
      </c>
      <c r="G9" t="s">
        <v>21</v>
      </c>
    </row>
    <row r="10" spans="1:7" x14ac:dyDescent="0.3">
      <c r="A10">
        <v>1009</v>
      </c>
      <c r="B10" t="s">
        <v>26</v>
      </c>
      <c r="C10" t="s">
        <v>22</v>
      </c>
      <c r="D10" t="s">
        <v>13</v>
      </c>
      <c r="E10">
        <v>2</v>
      </c>
      <c r="F10">
        <v>25000</v>
      </c>
      <c r="G10" t="s">
        <v>10</v>
      </c>
    </row>
    <row r="11" spans="1:7" x14ac:dyDescent="0.3">
      <c r="A11">
        <v>1010</v>
      </c>
      <c r="B11" t="s">
        <v>27</v>
      </c>
      <c r="C11" t="s">
        <v>18</v>
      </c>
      <c r="D11" t="s">
        <v>9</v>
      </c>
      <c r="E11">
        <v>3</v>
      </c>
      <c r="F11">
        <v>50000</v>
      </c>
      <c r="G11" t="s">
        <v>14</v>
      </c>
    </row>
    <row r="12" spans="1:7" x14ac:dyDescent="0.3">
      <c r="A12">
        <v>1010</v>
      </c>
      <c r="B12" t="s">
        <v>27</v>
      </c>
      <c r="C12" t="s">
        <v>18</v>
      </c>
      <c r="D12" t="s">
        <v>9</v>
      </c>
      <c r="E12">
        <v>3</v>
      </c>
      <c r="F12">
        <v>50000</v>
      </c>
      <c r="G12" t="s">
        <v>14</v>
      </c>
    </row>
    <row r="13" spans="1:7" x14ac:dyDescent="0.3">
      <c r="A13">
        <v>1011</v>
      </c>
      <c r="B13" t="s">
        <v>28</v>
      </c>
      <c r="D13" t="s">
        <v>13</v>
      </c>
      <c r="E13">
        <v>2</v>
      </c>
      <c r="F13">
        <v>25000</v>
      </c>
      <c r="G13" t="s">
        <v>10</v>
      </c>
    </row>
    <row r="14" spans="1:7" x14ac:dyDescent="0.3">
      <c r="A14">
        <v>1012</v>
      </c>
      <c r="B14" t="s">
        <v>29</v>
      </c>
      <c r="C14" t="s">
        <v>22</v>
      </c>
      <c r="D14" t="s">
        <v>19</v>
      </c>
      <c r="F14">
        <v>15000</v>
      </c>
      <c r="G14" t="s">
        <v>21</v>
      </c>
    </row>
    <row r="15" spans="1:7" x14ac:dyDescent="0.3">
      <c r="A15">
        <v>1013</v>
      </c>
      <c r="B15" t="s">
        <v>30</v>
      </c>
      <c r="C15" t="s">
        <v>12</v>
      </c>
      <c r="D15" t="s">
        <v>9</v>
      </c>
      <c r="E15">
        <v>1</v>
      </c>
      <c r="G15" t="s">
        <v>14</v>
      </c>
    </row>
    <row r="16" spans="1:7" x14ac:dyDescent="0.3">
      <c r="A16">
        <v>1014</v>
      </c>
      <c r="B16" t="s">
        <v>15</v>
      </c>
      <c r="C16" t="s">
        <v>22</v>
      </c>
      <c r="D16" t="s">
        <v>13</v>
      </c>
      <c r="E16">
        <v>2</v>
      </c>
      <c r="F16">
        <v>25000</v>
      </c>
      <c r="G16" t="s">
        <v>10</v>
      </c>
    </row>
    <row r="17" spans="1:7" x14ac:dyDescent="0.3">
      <c r="A17">
        <v>1015</v>
      </c>
      <c r="B17" t="s">
        <v>31</v>
      </c>
      <c r="C17" t="s">
        <v>18</v>
      </c>
      <c r="D17" t="s">
        <v>19</v>
      </c>
      <c r="E17">
        <v>3</v>
      </c>
      <c r="F17">
        <v>15000</v>
      </c>
      <c r="G17"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5B448-470C-4E19-8830-592F55F46AC4}">
  <dimension ref="A1:H24"/>
  <sheetViews>
    <sheetView workbookViewId="0">
      <selection activeCell="V11" sqref="V11"/>
    </sheetView>
  </sheetViews>
  <sheetFormatPr defaultRowHeight="14.4" x14ac:dyDescent="0.3"/>
  <cols>
    <col min="2" max="2" width="12.5546875" bestFit="1" customWidth="1"/>
    <col min="3" max="3" width="19.44140625" bestFit="1" customWidth="1"/>
    <col min="4" max="4" width="10.21875" customWidth="1"/>
    <col min="5" max="5" width="11.21875" customWidth="1"/>
    <col min="6" max="6" width="11.109375" customWidth="1"/>
    <col min="7" max="7" width="13.21875" customWidth="1"/>
  </cols>
  <sheetData>
    <row r="1" spans="1:8" x14ac:dyDescent="0.3">
      <c r="A1" t="s">
        <v>0</v>
      </c>
      <c r="B1" t="s">
        <v>1</v>
      </c>
      <c r="C1" t="s">
        <v>2</v>
      </c>
      <c r="D1" t="s">
        <v>3</v>
      </c>
      <c r="E1" t="s">
        <v>4</v>
      </c>
      <c r="F1" t="s">
        <v>5</v>
      </c>
      <c r="G1" t="s">
        <v>6</v>
      </c>
      <c r="H1" t="s">
        <v>35</v>
      </c>
    </row>
    <row r="2" spans="1:8" x14ac:dyDescent="0.3">
      <c r="A2">
        <v>1001</v>
      </c>
      <c r="B2" t="s">
        <v>32</v>
      </c>
      <c r="C2" t="s">
        <v>22</v>
      </c>
      <c r="D2" t="s">
        <v>9</v>
      </c>
      <c r="E2">
        <v>2</v>
      </c>
      <c r="F2">
        <v>50000</v>
      </c>
      <c r="G2" t="s">
        <v>10</v>
      </c>
      <c r="H2">
        <f>PRODUCT(F2,E2)</f>
        <v>100000</v>
      </c>
    </row>
    <row r="3" spans="1:8" x14ac:dyDescent="0.3">
      <c r="A3">
        <v>1002</v>
      </c>
      <c r="B3" t="s">
        <v>10</v>
      </c>
      <c r="C3" t="s">
        <v>12</v>
      </c>
      <c r="D3" t="s">
        <v>13</v>
      </c>
      <c r="E3">
        <v>3</v>
      </c>
      <c r="F3">
        <v>25000</v>
      </c>
      <c r="G3" t="s">
        <v>14</v>
      </c>
      <c r="H3">
        <f t="shared" ref="H3:H16" si="0">PRODUCT(F3,E3)</f>
        <v>75000</v>
      </c>
    </row>
    <row r="4" spans="1:8" x14ac:dyDescent="0.3">
      <c r="A4">
        <v>1003</v>
      </c>
      <c r="B4" t="s">
        <v>15</v>
      </c>
      <c r="C4" t="s">
        <v>22</v>
      </c>
      <c r="D4" t="s">
        <v>9</v>
      </c>
      <c r="E4">
        <v>1</v>
      </c>
      <c r="F4">
        <v>50000</v>
      </c>
      <c r="G4" t="s">
        <v>10</v>
      </c>
      <c r="H4">
        <f t="shared" si="0"/>
        <v>50000</v>
      </c>
    </row>
    <row r="5" spans="1:8" x14ac:dyDescent="0.3">
      <c r="A5">
        <v>1004</v>
      </c>
      <c r="B5" t="s">
        <v>17</v>
      </c>
      <c r="C5" t="s">
        <v>18</v>
      </c>
      <c r="D5" t="s">
        <v>19</v>
      </c>
      <c r="E5">
        <v>4</v>
      </c>
      <c r="F5">
        <v>15000</v>
      </c>
      <c r="G5" t="str">
        <f>G16</f>
        <v>Deepa</v>
      </c>
      <c r="H5">
        <f t="shared" si="0"/>
        <v>60000</v>
      </c>
    </row>
    <row r="6" spans="1:8" x14ac:dyDescent="0.3">
      <c r="A6">
        <v>1005</v>
      </c>
      <c r="B6" t="s">
        <v>14</v>
      </c>
      <c r="C6" t="s">
        <v>12</v>
      </c>
      <c r="D6" t="s">
        <v>9</v>
      </c>
      <c r="E6">
        <v>2</v>
      </c>
      <c r="F6">
        <v>50000</v>
      </c>
      <c r="G6" t="s">
        <v>21</v>
      </c>
      <c r="H6">
        <f t="shared" si="0"/>
        <v>100000</v>
      </c>
    </row>
    <row r="7" spans="1:8" x14ac:dyDescent="0.3">
      <c r="A7">
        <v>1006</v>
      </c>
      <c r="B7" t="s">
        <v>21</v>
      </c>
      <c r="C7" t="s">
        <v>22</v>
      </c>
      <c r="D7" t="s">
        <v>13</v>
      </c>
      <c r="E7">
        <v>5</v>
      </c>
      <c r="F7">
        <v>25000</v>
      </c>
      <c r="G7" t="s">
        <v>10</v>
      </c>
      <c r="H7">
        <f t="shared" si="0"/>
        <v>125000</v>
      </c>
    </row>
    <row r="8" spans="1:8" x14ac:dyDescent="0.3">
      <c r="A8">
        <v>1007</v>
      </c>
      <c r="B8" t="s">
        <v>23</v>
      </c>
      <c r="C8" t="s">
        <v>18</v>
      </c>
      <c r="D8" t="s">
        <v>9</v>
      </c>
      <c r="E8">
        <v>1</v>
      </c>
      <c r="F8">
        <v>50000</v>
      </c>
      <c r="G8" t="s">
        <v>14</v>
      </c>
      <c r="H8">
        <f t="shared" si="0"/>
        <v>50000</v>
      </c>
    </row>
    <row r="9" spans="1:8" x14ac:dyDescent="0.3">
      <c r="A9">
        <v>1008</v>
      </c>
      <c r="B9" t="s">
        <v>25</v>
      </c>
      <c r="C9" t="s">
        <v>12</v>
      </c>
      <c r="D9" t="s">
        <v>19</v>
      </c>
      <c r="E9">
        <v>2</v>
      </c>
      <c r="F9">
        <v>15000</v>
      </c>
      <c r="G9" t="s">
        <v>21</v>
      </c>
      <c r="H9">
        <f t="shared" si="0"/>
        <v>30000</v>
      </c>
    </row>
    <row r="10" spans="1:8" x14ac:dyDescent="0.3">
      <c r="A10">
        <v>1009</v>
      </c>
      <c r="B10" t="s">
        <v>26</v>
      </c>
      <c r="C10" t="s">
        <v>22</v>
      </c>
      <c r="D10" t="s">
        <v>13</v>
      </c>
      <c r="E10">
        <v>2</v>
      </c>
      <c r="F10">
        <v>25000</v>
      </c>
      <c r="G10" t="s">
        <v>10</v>
      </c>
      <c r="H10">
        <f t="shared" si="0"/>
        <v>50000</v>
      </c>
    </row>
    <row r="11" spans="1:8" x14ac:dyDescent="0.3">
      <c r="A11">
        <v>1010</v>
      </c>
      <c r="B11" t="s">
        <v>27</v>
      </c>
      <c r="C11" t="s">
        <v>18</v>
      </c>
      <c r="D11" t="s">
        <v>9</v>
      </c>
      <c r="E11">
        <v>3</v>
      </c>
      <c r="F11">
        <v>50000</v>
      </c>
      <c r="G11" t="s">
        <v>14</v>
      </c>
      <c r="H11">
        <f t="shared" si="0"/>
        <v>150000</v>
      </c>
    </row>
    <row r="12" spans="1:8" x14ac:dyDescent="0.3">
      <c r="A12">
        <v>1011</v>
      </c>
      <c r="B12" t="s">
        <v>28</v>
      </c>
      <c r="C12" t="s">
        <v>22</v>
      </c>
      <c r="D12" t="s">
        <v>13</v>
      </c>
      <c r="E12">
        <v>2</v>
      </c>
      <c r="F12">
        <v>25000</v>
      </c>
      <c r="G12" t="s">
        <v>10</v>
      </c>
      <c r="H12">
        <f t="shared" si="0"/>
        <v>50000</v>
      </c>
    </row>
    <row r="13" spans="1:8" x14ac:dyDescent="0.3">
      <c r="A13">
        <v>1012</v>
      </c>
      <c r="B13" t="s">
        <v>33</v>
      </c>
      <c r="C13" t="s">
        <v>22</v>
      </c>
      <c r="D13" t="s">
        <v>19</v>
      </c>
      <c r="E13">
        <v>3</v>
      </c>
      <c r="F13">
        <v>15000</v>
      </c>
      <c r="G13" t="s">
        <v>21</v>
      </c>
      <c r="H13">
        <f t="shared" si="0"/>
        <v>45000</v>
      </c>
    </row>
    <row r="14" spans="1:8" x14ac:dyDescent="0.3">
      <c r="A14">
        <v>1013</v>
      </c>
      <c r="B14" t="s">
        <v>30</v>
      </c>
      <c r="C14" t="s">
        <v>12</v>
      </c>
      <c r="D14" t="s">
        <v>9</v>
      </c>
      <c r="E14">
        <v>1</v>
      </c>
      <c r="F14">
        <v>50000</v>
      </c>
      <c r="G14" t="s">
        <v>14</v>
      </c>
      <c r="H14">
        <f t="shared" si="0"/>
        <v>50000</v>
      </c>
    </row>
    <row r="15" spans="1:8" x14ac:dyDescent="0.3">
      <c r="A15">
        <v>1014</v>
      </c>
      <c r="B15" t="s">
        <v>15</v>
      </c>
      <c r="C15" t="s">
        <v>22</v>
      </c>
      <c r="D15" t="s">
        <v>13</v>
      </c>
      <c r="E15">
        <v>2</v>
      </c>
      <c r="F15">
        <v>25000</v>
      </c>
      <c r="G15" t="s">
        <v>10</v>
      </c>
      <c r="H15">
        <f t="shared" si="0"/>
        <v>50000</v>
      </c>
    </row>
    <row r="16" spans="1:8" x14ac:dyDescent="0.3">
      <c r="A16">
        <v>1015</v>
      </c>
      <c r="B16" t="s">
        <v>34</v>
      </c>
      <c r="C16" t="s">
        <v>18</v>
      </c>
      <c r="D16" t="s">
        <v>19</v>
      </c>
      <c r="E16">
        <v>3</v>
      </c>
      <c r="F16">
        <v>15000</v>
      </c>
      <c r="G16" t="s">
        <v>21</v>
      </c>
      <c r="H16">
        <f t="shared" si="0"/>
        <v>45000</v>
      </c>
    </row>
    <row r="20" spans="2:3" x14ac:dyDescent="0.3">
      <c r="B20" s="1" t="s">
        <v>36</v>
      </c>
      <c r="C20" t="s">
        <v>38</v>
      </c>
    </row>
    <row r="21" spans="2:3" x14ac:dyDescent="0.3">
      <c r="B21" s="2" t="s">
        <v>22</v>
      </c>
      <c r="C21" s="3">
        <v>470000</v>
      </c>
    </row>
    <row r="22" spans="2:3" x14ac:dyDescent="0.3">
      <c r="B22" s="2" t="s">
        <v>18</v>
      </c>
      <c r="C22" s="3">
        <v>305000</v>
      </c>
    </row>
    <row r="23" spans="2:3" x14ac:dyDescent="0.3">
      <c r="B23" s="2" t="s">
        <v>12</v>
      </c>
      <c r="C23" s="3">
        <v>255000</v>
      </c>
    </row>
    <row r="24" spans="2:3" x14ac:dyDescent="0.3">
      <c r="B24" s="2" t="s">
        <v>37</v>
      </c>
      <c r="C24" s="3">
        <v>1030000</v>
      </c>
    </row>
  </sheetData>
  <autoFilter ref="A1:G16" xr:uid="{5365B448-470C-4E19-8830-592F55F46AC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1FAE5-129E-4DD8-957A-78802414710F}">
  <dimension ref="A2:E58"/>
  <sheetViews>
    <sheetView topLeftCell="A37" workbookViewId="0">
      <selection activeCell="R57" sqref="R57"/>
    </sheetView>
  </sheetViews>
  <sheetFormatPr defaultRowHeight="14.4" x14ac:dyDescent="0.3"/>
  <cols>
    <col min="1" max="1" width="12.5546875" bestFit="1" customWidth="1"/>
    <col min="2" max="2" width="16.44140625" bestFit="1" customWidth="1"/>
    <col min="3" max="3" width="6.88671875" bestFit="1" customWidth="1"/>
    <col min="4" max="4" width="6.21875" bestFit="1" customWidth="1"/>
    <col min="5" max="5" width="10.77734375" bestFit="1" customWidth="1"/>
    <col min="6" max="16" width="5" bestFit="1" customWidth="1"/>
    <col min="17" max="17" width="10.77734375" bestFit="1" customWidth="1"/>
  </cols>
  <sheetData>
    <row r="2" spans="1:2" x14ac:dyDescent="0.3">
      <c r="A2" s="1" t="s">
        <v>36</v>
      </c>
      <c r="B2" t="s">
        <v>38</v>
      </c>
    </row>
    <row r="3" spans="1:2" x14ac:dyDescent="0.3">
      <c r="A3" s="2" t="s">
        <v>22</v>
      </c>
      <c r="B3" s="3">
        <v>470000</v>
      </c>
    </row>
    <row r="4" spans="1:2" x14ac:dyDescent="0.3">
      <c r="A4" s="2" t="s">
        <v>18</v>
      </c>
      <c r="B4" s="3">
        <v>305000</v>
      </c>
    </row>
    <row r="5" spans="1:2" x14ac:dyDescent="0.3">
      <c r="A5" s="2" t="s">
        <v>12</v>
      </c>
      <c r="B5" s="3">
        <v>255000</v>
      </c>
    </row>
    <row r="6" spans="1:2" x14ac:dyDescent="0.3">
      <c r="A6" s="2" t="s">
        <v>37</v>
      </c>
      <c r="B6" s="3">
        <v>1030000</v>
      </c>
    </row>
    <row r="19" spans="1:5" x14ac:dyDescent="0.3">
      <c r="A19" s="1" t="s">
        <v>36</v>
      </c>
      <c r="B19" t="s">
        <v>38</v>
      </c>
    </row>
    <row r="20" spans="1:5" x14ac:dyDescent="0.3">
      <c r="A20" s="2" t="s">
        <v>9</v>
      </c>
      <c r="B20" s="3">
        <v>500000</v>
      </c>
    </row>
    <row r="21" spans="1:5" x14ac:dyDescent="0.3">
      <c r="A21" s="2" t="s">
        <v>13</v>
      </c>
      <c r="B21" s="3">
        <v>350000</v>
      </c>
    </row>
    <row r="22" spans="1:5" x14ac:dyDescent="0.3">
      <c r="A22" s="2" t="s">
        <v>19</v>
      </c>
      <c r="B22" s="3">
        <v>180000</v>
      </c>
    </row>
    <row r="23" spans="1:5" x14ac:dyDescent="0.3">
      <c r="A23" s="2" t="s">
        <v>37</v>
      </c>
      <c r="B23" s="3">
        <v>1030000</v>
      </c>
    </row>
    <row r="31" spans="1:5" x14ac:dyDescent="0.3">
      <c r="A31" s="1" t="s">
        <v>40</v>
      </c>
      <c r="B31" s="1" t="s">
        <v>39</v>
      </c>
    </row>
    <row r="32" spans="1:5" x14ac:dyDescent="0.3">
      <c r="A32" s="1" t="s">
        <v>36</v>
      </c>
      <c r="B32" t="s">
        <v>9</v>
      </c>
      <c r="C32" t="s">
        <v>13</v>
      </c>
      <c r="D32" t="s">
        <v>19</v>
      </c>
      <c r="E32" t="s">
        <v>37</v>
      </c>
    </row>
    <row r="33" spans="1:5" x14ac:dyDescent="0.3">
      <c r="A33" s="2" t="s">
        <v>22</v>
      </c>
      <c r="B33" s="3">
        <v>2</v>
      </c>
      <c r="C33" s="3">
        <v>4</v>
      </c>
      <c r="D33" s="3">
        <v>1</v>
      </c>
      <c r="E33" s="3">
        <v>7</v>
      </c>
    </row>
    <row r="34" spans="1:5" x14ac:dyDescent="0.3">
      <c r="A34" s="2" t="s">
        <v>18</v>
      </c>
      <c r="B34" s="3">
        <v>2</v>
      </c>
      <c r="C34" s="3"/>
      <c r="D34" s="3">
        <v>2</v>
      </c>
      <c r="E34" s="3">
        <v>4</v>
      </c>
    </row>
    <row r="35" spans="1:5" x14ac:dyDescent="0.3">
      <c r="A35" s="2" t="s">
        <v>12</v>
      </c>
      <c r="B35" s="3">
        <v>2</v>
      </c>
      <c r="C35" s="3">
        <v>1</v>
      </c>
      <c r="D35" s="3">
        <v>1</v>
      </c>
      <c r="E35" s="3">
        <v>4</v>
      </c>
    </row>
    <row r="36" spans="1:5" x14ac:dyDescent="0.3">
      <c r="A36" s="2" t="s">
        <v>37</v>
      </c>
      <c r="B36" s="3">
        <v>6</v>
      </c>
      <c r="C36" s="3">
        <v>5</v>
      </c>
      <c r="D36" s="3">
        <v>4</v>
      </c>
      <c r="E36" s="3">
        <v>15</v>
      </c>
    </row>
    <row r="46" spans="1:5" x14ac:dyDescent="0.3">
      <c r="A46" s="1" t="s">
        <v>36</v>
      </c>
      <c r="B46" t="s">
        <v>41</v>
      </c>
    </row>
    <row r="47" spans="1:5" x14ac:dyDescent="0.3">
      <c r="A47" s="2" t="s">
        <v>14</v>
      </c>
      <c r="B47" s="3">
        <v>4</v>
      </c>
    </row>
    <row r="48" spans="1:5" x14ac:dyDescent="0.3">
      <c r="A48" s="2" t="s">
        <v>21</v>
      </c>
      <c r="B48" s="3">
        <v>5</v>
      </c>
    </row>
    <row r="49" spans="1:4" x14ac:dyDescent="0.3">
      <c r="A49" s="2" t="s">
        <v>10</v>
      </c>
      <c r="B49" s="3">
        <v>6</v>
      </c>
    </row>
    <row r="50" spans="1:4" x14ac:dyDescent="0.3">
      <c r="A50" s="2" t="s">
        <v>37</v>
      </c>
      <c r="B50" s="3">
        <v>15</v>
      </c>
    </row>
    <row r="54" spans="1:4" x14ac:dyDescent="0.3">
      <c r="B54" s="1" t="s">
        <v>36</v>
      </c>
      <c r="C54" t="s">
        <v>38</v>
      </c>
      <c r="D54" t="s">
        <v>42</v>
      </c>
    </row>
    <row r="55" spans="1:4" ht="28.8" customHeight="1" x14ac:dyDescent="0.3">
      <c r="B55" s="2" t="s">
        <v>22</v>
      </c>
      <c r="C55" s="3">
        <v>470000</v>
      </c>
      <c r="D55" s="9">
        <v>0.4563106796116505</v>
      </c>
    </row>
    <row r="56" spans="1:4" x14ac:dyDescent="0.3">
      <c r="B56" s="2" t="s">
        <v>18</v>
      </c>
      <c r="C56" s="3">
        <v>305000</v>
      </c>
      <c r="D56" s="9">
        <v>0.29611650485436891</v>
      </c>
    </row>
    <row r="57" spans="1:4" ht="21.6" customHeight="1" x14ac:dyDescent="0.3">
      <c r="B57" s="2" t="s">
        <v>12</v>
      </c>
      <c r="C57" s="3">
        <v>255000</v>
      </c>
      <c r="D57" s="9">
        <v>0.24757281553398058</v>
      </c>
    </row>
    <row r="58" spans="1:4" x14ac:dyDescent="0.3">
      <c r="B58" s="2" t="s">
        <v>37</v>
      </c>
      <c r="C58" s="3">
        <v>1030000</v>
      </c>
      <c r="D58" s="9">
        <v>1</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A08F-86DB-4029-847E-B111529AFE10}">
  <dimension ref="A1:R9"/>
  <sheetViews>
    <sheetView showGridLines="0" tabSelected="1" zoomScale="55" zoomScaleNormal="55" workbookViewId="0">
      <selection activeCell="X20" sqref="X20"/>
    </sheetView>
  </sheetViews>
  <sheetFormatPr defaultRowHeight="14.4" x14ac:dyDescent="0.3"/>
  <sheetData>
    <row r="1" spans="1:18" x14ac:dyDescent="0.3">
      <c r="A1" s="4"/>
      <c r="B1" s="4"/>
      <c r="C1" s="4"/>
      <c r="D1" s="4"/>
      <c r="E1" s="4"/>
      <c r="F1" s="4"/>
      <c r="G1" s="4"/>
      <c r="H1" s="4"/>
      <c r="I1" s="4"/>
      <c r="J1" s="4"/>
      <c r="K1" s="4"/>
      <c r="L1" s="4"/>
      <c r="M1" s="4"/>
      <c r="N1" s="4"/>
      <c r="O1" s="4"/>
      <c r="P1" s="4"/>
      <c r="Q1" s="5"/>
      <c r="R1" s="5"/>
    </row>
    <row r="2" spans="1:18" ht="60" x14ac:dyDescent="0.95">
      <c r="A2" s="6" t="s">
        <v>43</v>
      </c>
      <c r="B2" s="4"/>
      <c r="C2" s="4"/>
      <c r="D2" s="4"/>
      <c r="E2" s="4"/>
      <c r="F2" s="4"/>
      <c r="G2" s="4"/>
      <c r="H2" s="4"/>
      <c r="I2" s="4"/>
      <c r="J2" s="4"/>
      <c r="K2" s="4"/>
      <c r="L2" s="4"/>
      <c r="M2" s="4"/>
      <c r="N2" s="4"/>
      <c r="O2" s="4"/>
      <c r="P2" s="4"/>
      <c r="Q2" s="5"/>
      <c r="R2" s="5"/>
    </row>
    <row r="3" spans="1:18" x14ac:dyDescent="0.3">
      <c r="A3" s="4"/>
      <c r="B3" s="4"/>
      <c r="C3" s="4"/>
      <c r="D3" s="4"/>
      <c r="E3" s="4"/>
      <c r="F3" s="4"/>
      <c r="G3" s="4"/>
      <c r="H3" s="4"/>
      <c r="I3" s="4"/>
      <c r="J3" s="4"/>
      <c r="K3" s="4"/>
      <c r="L3" s="4"/>
      <c r="M3" s="4"/>
      <c r="N3" s="4"/>
      <c r="O3" s="4"/>
      <c r="P3" s="4"/>
      <c r="Q3" s="5"/>
      <c r="R3" s="5"/>
    </row>
    <row r="4" spans="1:18" ht="18" customHeight="1" x14ac:dyDescent="0.3">
      <c r="B4" s="7"/>
      <c r="C4" s="7"/>
      <c r="D4" s="7"/>
      <c r="E4" s="7"/>
      <c r="F4" s="7"/>
      <c r="G4" s="7"/>
      <c r="H4" s="7"/>
      <c r="I4" s="7"/>
      <c r="J4" s="7"/>
      <c r="K4" s="7"/>
      <c r="L4" s="7"/>
      <c r="M4" s="8"/>
      <c r="N4" s="8"/>
    </row>
    <row r="5" spans="1:18" x14ac:dyDescent="0.3">
      <c r="B5" s="7"/>
      <c r="C5" s="7"/>
      <c r="D5" s="7"/>
      <c r="E5" s="7"/>
      <c r="F5" s="7"/>
      <c r="G5" s="7"/>
      <c r="H5" s="7"/>
      <c r="I5" s="7"/>
      <c r="J5" s="7"/>
      <c r="K5" s="7"/>
      <c r="L5" s="7"/>
      <c r="M5" s="8"/>
      <c r="N5" s="8"/>
    </row>
    <row r="6" spans="1:18" x14ac:dyDescent="0.3">
      <c r="B6" s="7"/>
      <c r="C6" s="7"/>
      <c r="D6" s="7"/>
      <c r="E6" s="7"/>
      <c r="F6" s="7"/>
      <c r="G6" s="7"/>
      <c r="H6" s="7"/>
      <c r="I6" s="7"/>
      <c r="J6" s="7"/>
      <c r="K6" s="7"/>
      <c r="L6" s="7"/>
      <c r="M6" s="8"/>
      <c r="N6" s="8"/>
    </row>
    <row r="7" spans="1:18" ht="36" customHeight="1" x14ac:dyDescent="0.3">
      <c r="B7" s="7"/>
      <c r="C7" s="7"/>
      <c r="D7" s="7"/>
      <c r="E7" s="7"/>
      <c r="F7" s="7"/>
      <c r="G7" s="7"/>
      <c r="H7" s="7"/>
      <c r="I7" s="7"/>
      <c r="J7" s="7"/>
      <c r="K7" s="7"/>
      <c r="L7" s="7"/>
      <c r="M7" s="8"/>
      <c r="N7" s="8"/>
    </row>
    <row r="8" spans="1:18" x14ac:dyDescent="0.3">
      <c r="B8" s="7"/>
      <c r="C8" s="7"/>
      <c r="D8" s="7"/>
      <c r="E8" s="7"/>
      <c r="F8" s="7"/>
      <c r="G8" s="7"/>
      <c r="H8" s="7"/>
      <c r="I8" s="7"/>
      <c r="J8" s="7"/>
      <c r="K8" s="7"/>
      <c r="L8" s="7"/>
      <c r="M8" s="8"/>
      <c r="N8" s="8"/>
    </row>
    <row r="9" spans="1:18" ht="38.4" customHeight="1" x14ac:dyDescent="0.3">
      <c r="B9" s="7"/>
      <c r="C9" s="7"/>
      <c r="D9" s="7"/>
      <c r="E9" s="7"/>
      <c r="F9" s="7"/>
      <c r="G9" s="7"/>
      <c r="H9" s="7"/>
      <c r="I9" s="7"/>
      <c r="J9" s="7"/>
      <c r="K9" s="7"/>
      <c r="L9" s="7"/>
      <c r="M9" s="8"/>
      <c r="N9"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cleaned</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SANJU</dc:creator>
  <cp:lastModifiedBy>SANJU H S</cp:lastModifiedBy>
  <dcterms:created xsi:type="dcterms:W3CDTF">2026-06-15T08:14:04Z</dcterms:created>
  <dcterms:modified xsi:type="dcterms:W3CDTF">2026-06-15T09:31:11Z</dcterms:modified>
</cp:coreProperties>
</file>